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sh\Downloads\"/>
    </mc:Choice>
  </mc:AlternateContent>
  <xr:revisionPtr revIDLastSave="0" documentId="13_ncr:1_{BCD6FC54-B3F9-42C0-8C38-05D9E6184DBB}" xr6:coauthVersionLast="47" xr6:coauthVersionMax="47" xr10:uidLastSave="{00000000-0000-0000-0000-000000000000}"/>
  <bookViews>
    <workbookView xWindow="-108" yWindow="-108" windowWidth="23256" windowHeight="13896" xr2:uid="{40C93FC3-5FD2-4FEF-91F0-7B23BC6795BA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Z79" i="2" l="1"/>
  <c r="AZ80" i="2"/>
  <c r="AZ81" i="2"/>
  <c r="AZ82" i="2"/>
  <c r="AZ83" i="2"/>
  <c r="AZ84" i="2"/>
  <c r="AZ85" i="2"/>
  <c r="AZ86" i="2"/>
  <c r="AZ87" i="2"/>
  <c r="AZ88" i="2"/>
  <c r="AZ89" i="2"/>
  <c r="AZ90" i="2"/>
  <c r="AZ91" i="2"/>
  <c r="AZ92" i="2"/>
  <c r="AZ93" i="2"/>
  <c r="AZ94" i="2"/>
  <c r="AZ95" i="2"/>
  <c r="AZ96" i="2"/>
  <c r="AZ97" i="2"/>
  <c r="AZ98" i="2"/>
  <c r="AZ99" i="2"/>
  <c r="AZ100" i="2"/>
  <c r="AZ101" i="2"/>
  <c r="AZ102" i="2"/>
  <c r="AZ103" i="2"/>
  <c r="AZ104" i="2"/>
  <c r="AZ105" i="2"/>
  <c r="AZ106" i="2"/>
  <c r="AZ107" i="2"/>
  <c r="AZ108" i="2"/>
  <c r="AZ109" i="2"/>
  <c r="AZ110" i="2"/>
  <c r="AZ111" i="2"/>
  <c r="AZ112" i="2"/>
  <c r="AZ113" i="2"/>
  <c r="AZ114" i="2"/>
  <c r="AZ115" i="2"/>
  <c r="AZ116" i="2"/>
  <c r="AZ117" i="2"/>
  <c r="AZ118" i="2"/>
  <c r="AZ39" i="2"/>
  <c r="AZ40" i="2"/>
  <c r="AZ41" i="2"/>
  <c r="AZ42" i="2"/>
  <c r="AZ43" i="2"/>
  <c r="AZ44" i="2"/>
  <c r="AZ45" i="2"/>
  <c r="AZ46" i="2"/>
  <c r="AZ47" i="2"/>
  <c r="AZ48" i="2"/>
  <c r="AZ49" i="2"/>
  <c r="AZ50" i="2"/>
  <c r="AZ51" i="2"/>
  <c r="AZ52" i="2"/>
  <c r="AZ53" i="2"/>
  <c r="AZ54" i="2"/>
  <c r="AZ55" i="2"/>
  <c r="AZ56" i="2"/>
  <c r="AZ57" i="2"/>
  <c r="AZ58" i="2"/>
  <c r="AZ59" i="2"/>
  <c r="AZ60" i="2"/>
  <c r="AZ61" i="2"/>
  <c r="AZ62" i="2"/>
  <c r="AZ63" i="2"/>
  <c r="AZ64" i="2"/>
  <c r="AZ65" i="2"/>
  <c r="AZ66" i="2"/>
  <c r="AZ67" i="2"/>
  <c r="AZ68" i="2"/>
  <c r="AZ69" i="2"/>
  <c r="AZ70" i="2"/>
  <c r="AZ71" i="2"/>
  <c r="AZ72" i="2"/>
  <c r="AZ73" i="2"/>
  <c r="AZ74" i="2"/>
  <c r="AZ75" i="2"/>
  <c r="AZ76" i="2"/>
  <c r="AZ77" i="2"/>
  <c r="AZ78" i="2"/>
  <c r="AZ30" i="2"/>
  <c r="AZ31" i="2"/>
  <c r="AZ32" i="2"/>
  <c r="AZ33" i="2"/>
  <c r="AZ34" i="2"/>
  <c r="AZ35" i="2"/>
  <c r="AZ36" i="2"/>
  <c r="AZ37" i="2"/>
  <c r="AZ38" i="2"/>
  <c r="AZ29" i="2"/>
  <c r="AZ28" i="2"/>
  <c r="AZ27" i="2"/>
  <c r="AZ26" i="2"/>
  <c r="AZ25" i="2"/>
  <c r="AZ24" i="2"/>
  <c r="AZ23" i="2"/>
  <c r="AZ22" i="2"/>
  <c r="AZ21" i="2"/>
  <c r="AZ20" i="2"/>
  <c r="AZ19" i="2"/>
  <c r="AZ18" i="2"/>
  <c r="AZ17" i="2"/>
  <c r="AZ16" i="2"/>
  <c r="AZ15" i="2"/>
  <c r="AZ14" i="2"/>
  <c r="AZ13" i="2"/>
  <c r="AZ12" i="2"/>
  <c r="AZ11" i="2"/>
  <c r="AZ10" i="2"/>
  <c r="AZ9" i="2"/>
  <c r="AZ8" i="2"/>
  <c r="AZ7" i="2"/>
  <c r="AZ6" i="2"/>
  <c r="AZ5" i="2"/>
  <c r="AZ4" i="2"/>
  <c r="AZ3" i="2"/>
  <c r="AZ2" i="2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X7" i="1"/>
  <c r="AX6" i="1"/>
  <c r="AX5" i="1"/>
  <c r="AX4" i="1"/>
  <c r="AX3" i="1"/>
  <c r="AX2" i="1"/>
</calcChain>
</file>

<file path=xl/sharedStrings.xml><?xml version="1.0" encoding="utf-8"?>
<sst xmlns="http://schemas.openxmlformats.org/spreadsheetml/2006/main" count="867" uniqueCount="214">
  <si>
    <t>city</t>
  </si>
  <si>
    <t>population</t>
  </si>
  <si>
    <t>median_age</t>
  </si>
  <si>
    <t>highschool_grads</t>
  </si>
  <si>
    <t>bachelor_grads</t>
  </si>
  <si>
    <t>masters_grads</t>
  </si>
  <si>
    <t>doctorate_grads</t>
  </si>
  <si>
    <t>Agg. Income</t>
  </si>
  <si>
    <t>Median Income</t>
  </si>
  <si>
    <t>Per Capita</t>
  </si>
  <si>
    <t>total_households</t>
  </si>
  <si>
    <t>avg_household_size</t>
  </si>
  <si>
    <t>poverty_count</t>
  </si>
  <si>
    <t>unemployed</t>
  </si>
  <si>
    <t>labor_force</t>
  </si>
  <si>
    <t>Governance
(/9)</t>
  </si>
  <si>
    <t>Data &amp; Analytics
(/21)</t>
  </si>
  <si>
    <t>Action Planning
(/18)</t>
  </si>
  <si>
    <t>Total
(/48)</t>
  </si>
  <si>
    <t>Cash &amp; Investment Coverage</t>
  </si>
  <si>
    <t>Financial Slack Ratio</t>
  </si>
  <si>
    <t>Long-Term Leverage</t>
  </si>
  <si>
    <t>Long-Term Debt per Capita(per resident)</t>
  </si>
  <si>
    <t>Debt Service Burden</t>
  </si>
  <si>
    <t>Pension Exposure Ratio</t>
  </si>
  <si>
    <t>OPEB Liability-Scaled</t>
  </si>
  <si>
    <t>OPEB Expense-Scaled</t>
  </si>
  <si>
    <t>Capital Intensity</t>
  </si>
  <si>
    <t>Infrastructure Burden per Capita(per resident)</t>
  </si>
  <si>
    <t>Net Investment Capacity</t>
  </si>
  <si>
    <t>Restricted Rigidity</t>
  </si>
  <si>
    <t>Liability Pressure</t>
  </si>
  <si>
    <t>Asset Coverage</t>
  </si>
  <si>
    <t>Local Taxes</t>
  </si>
  <si>
    <t>Intergovermental Taxes</t>
  </si>
  <si>
    <t>GO Bonds</t>
  </si>
  <si>
    <t>Revenue Bonds</t>
  </si>
  <si>
    <t>Alternate Revenue Bonds</t>
  </si>
  <si>
    <t>Contractual Commitments</t>
  </si>
  <si>
    <t xml:space="preserve">Total Debt </t>
  </si>
  <si>
    <t>Report consultant</t>
  </si>
  <si>
    <t>Report year</t>
  </si>
  <si>
    <t>Sustainability team</t>
  </si>
  <si>
    <t>grc</t>
  </si>
  <si>
    <t>c4</t>
  </si>
  <si>
    <t>iclei</t>
  </si>
  <si>
    <t>ev_ready</t>
  </si>
  <si>
    <t>other_regional_partnerships_n</t>
  </si>
  <si>
    <t>Notes</t>
  </si>
  <si>
    <t>regional_network_count</t>
  </si>
  <si>
    <t xml:space="preserve">commission_authority_level </t>
  </si>
  <si>
    <t>Brookfield</t>
  </si>
  <si>
    <t>municipality</t>
  </si>
  <si>
    <t>Code 2</t>
  </si>
  <si>
    <t>PDF p. 3 — cross-department staff involvement https://www.brookfieldil.gov/government/conservation_commission.php</t>
  </si>
  <si>
    <t>Buffalo Grove</t>
  </si>
  <si>
    <t>Code 1</t>
  </si>
  <si>
    <r>
      <t>Page 33</t>
    </r>
    <r>
      <rPr>
        <sz val="11"/>
        <color theme="1"/>
        <rFont val="Aptos Narrow"/>
        <family val="2"/>
        <scheme val="minor"/>
      </rPr>
      <t xml:space="preserve">: says the </t>
    </r>
    <r>
      <rPr>
        <b/>
        <sz val="11"/>
        <color theme="1"/>
        <rFont val="Aptos Narrow"/>
        <family val="2"/>
        <scheme val="minor"/>
      </rPr>
      <t>Environmental Action Team (EAT)</t>
    </r>
    <r>
      <rPr>
        <sz val="11"/>
        <color theme="1"/>
        <rFont val="Aptos Narrow"/>
        <family val="2"/>
        <scheme val="minor"/>
      </rPr>
      <t xml:space="preserve"> is an </t>
    </r>
    <r>
      <rPr>
        <b/>
        <sz val="11"/>
        <color theme="1"/>
        <rFont val="Aptos Narrow"/>
        <family val="2"/>
        <scheme val="minor"/>
      </rPr>
      <t>“environmentally-focused citizen advisory group”</t>
    </r>
    <r>
      <rPr>
        <sz val="11"/>
        <color theme="1"/>
        <rFont val="Aptos Narrow"/>
        <family val="2"/>
        <scheme val="minor"/>
      </rPr>
      <t xml:space="preserve"> and describes it as a volunteer group raising awareness and encouraging sustainability practices.</t>
    </r>
  </si>
  <si>
    <t>Cary</t>
  </si>
  <si>
    <t>consultant</t>
  </si>
  <si>
    <t>PDF p. 14 — EAB formed; EAB gave carbon reduction recommendations
PDF p. 5 — cross-department and community advisory group participants
PDF p. 15 — staff workshops and inter-departmental coordination</t>
  </si>
  <si>
    <t>Countryside</t>
  </si>
  <si>
    <t>PDF p. 3 — committee appointed and charged with developing the plan
PDF p. 6 — committee creates/updates the plan, prioritizes initiatives, assigns staff, reviews progress, and sends revisions to council</t>
  </si>
  <si>
    <t>Deer Park</t>
  </si>
  <si>
    <t>Code 0</t>
  </si>
  <si>
    <t>Deerfield</t>
  </si>
  <si>
    <t>https://www.deerfield.il.us/458/Sustainability-Commission Page 2 — shows the Sustainability Commission represented in the Working Group and lists the staff support team.
Page 4 — says the Village Board established a GHG Reduction Ad Hoc Working Group to complete the initial planning work.
Page 39 — says staff will work with stakeholders including boards and commissions to implement strategies, which suggests the commission is supportive, but not the formal implementation-tracking body.</t>
  </si>
  <si>
    <t>DeKalb</t>
  </si>
  <si>
    <t>https://www.cityofdekalb.com/DocumentCenter/View/159/Chapter-50-Citizen-Environmental-Commission-031025?bidId=</t>
  </si>
  <si>
    <t>Downers Grove</t>
  </si>
  <si>
    <t>https://www.downers.us/environmental-concerns-commission#:~:text=The%20Environmental%20Concerns%20Commission%20(ECC)%20is%20a,conservation%20of%20energy%2C%20materials%2C%20and%20natural%20resources</t>
  </si>
  <si>
    <t>Glencoe</t>
  </si>
  <si>
    <t>No evidence of tracking implmentation - https://www.villageofglencoe.org/government/committees___commissions/sustainability_task_force/index.php#:~:text=Click%20a%20tile%20below%20to,Agendas%20&amp;%20Minutes</t>
  </si>
  <si>
    <t>Hawthorn Woods</t>
  </si>
  <si>
    <t>https://www.vhw.org/126/Sustainability-Committee</t>
  </si>
  <si>
    <t>Highland Park</t>
  </si>
  <si>
    <t>https://www.cityhpil.com/environment/city_commitments/sustainability_advisory_group.php</t>
  </si>
  <si>
    <t>Lake Bluff</t>
  </si>
  <si>
    <t>https://www.lakebluff.org/government/advisory-boards/784-sustainability-and-enhancement-ad-hoc-committee</t>
  </si>
  <si>
    <t>Libertyville</t>
  </si>
  <si>
    <t>https://www.libertyville.com/65/Sustain-Libertyville-Commission</t>
  </si>
  <si>
    <t>Lincolnwood</t>
  </si>
  <si>
    <t>https://www.lincolnwoodil.org/488/Environmental-Sustainability</t>
  </si>
  <si>
    <t>Morton Grove</t>
  </si>
  <si>
    <t>https://www.mortongroveil.org/environmentnaturalresources/</t>
  </si>
  <si>
    <t>Mount Prospect</t>
  </si>
  <si>
    <t>https://www.mountprospect.org/services/transparency-and-fact-check-portal/sustainability-portal</t>
  </si>
  <si>
    <t>Naperville</t>
  </si>
  <si>
    <r>
      <t xml:space="preserve">The PDF shows that </t>
    </r>
    <r>
      <rPr>
        <b/>
        <sz val="11"/>
        <color theme="1"/>
        <rFont val="Aptos Narrow"/>
        <family val="2"/>
        <scheme val="minor"/>
      </rPr>
      <t>NEST</t>
    </r>
    <r>
      <rPr>
        <sz val="11"/>
        <color theme="1"/>
        <rFont val="Aptos Narrow"/>
        <family val="2"/>
        <scheme val="minor"/>
      </rPr>
      <t xml:space="preserve"> is an </t>
    </r>
    <r>
      <rPr>
        <b/>
        <sz val="11"/>
        <color theme="1"/>
        <rFont val="Aptos Narrow"/>
        <family val="2"/>
        <scheme val="minor"/>
      </rPr>
      <t>advisory</t>
    </r>
    <r>
      <rPr>
        <sz val="11"/>
        <color theme="1"/>
        <rFont val="Aptos Narrow"/>
        <family val="2"/>
        <scheme val="minor"/>
      </rPr>
      <t xml:space="preserve"> body: it is described as the </t>
    </r>
    <r>
      <rPr>
        <b/>
        <sz val="11"/>
        <color theme="1"/>
        <rFont val="Aptos Narrow"/>
        <family val="2"/>
        <scheme val="minor"/>
      </rPr>
      <t>“advisory Naperville Environment and Sustainability Task Force”</t>
    </r>
    <r>
      <rPr>
        <sz val="11"/>
        <color theme="1"/>
        <rFont val="Aptos Narrow"/>
        <family val="2"/>
        <scheme val="minor"/>
      </rPr>
      <t xml:space="preserve"> and says the task force worked to </t>
    </r>
    <r>
      <rPr>
        <b/>
        <sz val="11"/>
        <color theme="1"/>
        <rFont val="Aptos Narrow"/>
        <family val="2"/>
        <scheme val="minor"/>
      </rPr>
      <t>advise the City on the creation</t>
    </r>
    <r>
      <rPr>
        <sz val="11"/>
        <color theme="1"/>
        <rFont val="Aptos Narrow"/>
        <family val="2"/>
        <scheme val="minor"/>
      </rPr>
      <t xml:space="preserve"> of a community sustainability plan. It also says City Council voted in 2019 to support the task force to work toward creating that plan. That fits </t>
    </r>
    <r>
      <rPr>
        <b/>
        <sz val="11"/>
        <color theme="1"/>
        <rFont val="Aptos Narrow"/>
        <family val="2"/>
        <scheme val="minor"/>
      </rPr>
      <t>code 1</t>
    </r>
    <r>
      <rPr>
        <sz val="11"/>
        <color theme="1"/>
        <rFont val="Aptos Narrow"/>
        <family val="2"/>
        <scheme val="minor"/>
      </rPr>
      <t xml:space="preserve"> much better than 0. Webpage lines 141–145, 188–193: Sustainability Workplan, Cross-Departmental Sustainability Team, Sustainability Manager.- https://www.naperville.il.us/government/environmental-sustainability-in-naperville/city-leadership-in-sustainability/</t>
    </r>
  </si>
  <si>
    <t>Oak park</t>
  </si>
  <si>
    <t>Page 5 — ESAC role, implementation oversight, plan review
Page 7 — internal staff/environmental committee integration
Page 15 — plan tied to measurable goals and indicators</t>
  </si>
  <si>
    <t>Park Ridge</t>
  </si>
  <si>
    <t>Page 1 — STF developed the plan and made recommendations for the city.
Page 26 — recommends future commission, green team, and sustainability coordinator.</t>
  </si>
  <si>
    <t>Riverside</t>
  </si>
  <si>
    <t>Voulenteer efforts - took C4 initiative</t>
  </si>
  <si>
    <t>Rolling Meadows</t>
  </si>
  <si>
    <t>Page 8 — formal establishment of the Environmental Committee; committee helped formulate the plan; annual work plan/progress structure.
Page 27 — Environmental Committee oversees sustainability efforts including implementation of the plan.
Page 33 — dedicated staff managing sustainability programs and plan implementation.
Page 46 — City Manager + Environmental Committee coordinate oversight; committee develops revisions and annual report.</t>
  </si>
  <si>
    <t>Skokie</t>
  </si>
  <si>
    <t>p. 1-7 and Implementation p. 11-4 to 11-5. The plan repeatedly centers SEAC and gives it an implementation role, not just a commenting role. It says progress updates will be reported annually to SEAC and the Village Board, calls for funded sustainability staffing, creates an internal cross-department Village Sustainability Team, and says SEAC should act as the primary community member body supporting implementation, annual work plans, and plan adjustments. That fits your top category well.</t>
  </si>
  <si>
    <t>Thornton</t>
  </si>
  <si>
    <t>ISAP</t>
  </si>
  <si>
    <t xml:space="preserve">No evidence of any team or tracking implmentation </t>
  </si>
  <si>
    <t>Vernon Hills</t>
  </si>
  <si>
    <t>https://vernonhills.org/961/Sustainability- not 1, because there is no environmental/sustainability commission or advisory body shown</t>
  </si>
  <si>
    <t>Warrenville</t>
  </si>
  <si>
    <r>
      <t xml:space="preserve">Warrenville clearly has a formal </t>
    </r>
    <r>
      <rPr>
        <b/>
        <sz val="11"/>
        <color theme="1"/>
        <rFont val="Aptos Narrow"/>
        <family val="2"/>
        <scheme val="minor"/>
      </rPr>
      <t>Environmental Advisory Commission (EAC)</t>
    </r>
    <r>
      <rPr>
        <sz val="11"/>
        <color theme="1"/>
        <rFont val="Aptos Narrow"/>
        <family val="2"/>
        <scheme val="minor"/>
      </rPr>
      <t xml:space="preserve">. The city page says it was recreated in 2007 to act as a </t>
    </r>
    <r>
      <rPr>
        <b/>
        <sz val="11"/>
        <color theme="1"/>
        <rFont val="Aptos Narrow"/>
        <family val="2"/>
        <scheme val="minor"/>
      </rPr>
      <t>resource and advocate to the City Council and the community</t>
    </r>
    <r>
      <rPr>
        <sz val="11"/>
        <color theme="1"/>
        <rFont val="Aptos Narrow"/>
        <family val="2"/>
        <scheme val="minor"/>
      </rPr>
      <t xml:space="preserve">, help develop </t>
    </r>
    <r>
      <rPr>
        <b/>
        <sz val="11"/>
        <color theme="1"/>
        <rFont val="Aptos Narrow"/>
        <family val="2"/>
        <scheme val="minor"/>
      </rPr>
      <t>educational and informational programs</t>
    </r>
    <r>
      <rPr>
        <sz val="11"/>
        <color theme="1"/>
        <rFont val="Aptos Narrow"/>
        <family val="2"/>
        <scheme val="minor"/>
      </rPr>
      <t>, promote beautification, and conduct Arbor Day activity. - https://www.warrenville.il.us/316/Environmental-Advisory-Commission</t>
    </r>
  </si>
  <si>
    <t>Waukegan</t>
  </si>
  <si>
    <t xml:space="preserve"> Mayors' Monarch Pledge, and Global Covenant of Mayors </t>
  </si>
  <si>
    <t>Wilmette</t>
  </si>
  <si>
    <t>Edens Pollinator Corridor Project, Clean Air Counts</t>
  </si>
  <si>
    <t>https://www.wilmette.gov/494/Village-Sustainability-Goals-and-Regiona</t>
  </si>
  <si>
    <t>State</t>
  </si>
  <si>
    <t>Illinois</t>
  </si>
  <si>
    <t>Bloomington</t>
  </si>
  <si>
    <t>Evansville</t>
  </si>
  <si>
    <t>Gary</t>
  </si>
  <si>
    <t>Goshen</t>
  </si>
  <si>
    <t>Highlands</t>
  </si>
  <si>
    <t>Hobart</t>
  </si>
  <si>
    <t>Huntington</t>
  </si>
  <si>
    <t>LaPorte</t>
  </si>
  <si>
    <t>Michigan city</t>
  </si>
  <si>
    <t>Muncie</t>
  </si>
  <si>
    <t>New castle</t>
  </si>
  <si>
    <t>Richmond</t>
  </si>
  <si>
    <t>Terre haute</t>
  </si>
  <si>
    <t>Zionsville</t>
  </si>
  <si>
    <t>Indianapolis</t>
  </si>
  <si>
    <t>Fort wayne</t>
  </si>
  <si>
    <t>Indiana</t>
  </si>
  <si>
    <t>Ames</t>
  </si>
  <si>
    <t>Cedar Rapids</t>
  </si>
  <si>
    <t>Dubuque</t>
  </si>
  <si>
    <t>Urbandale</t>
  </si>
  <si>
    <t>Waukee</t>
  </si>
  <si>
    <t>Iowa</t>
  </si>
  <si>
    <t>Ann Arbor</t>
  </si>
  <si>
    <t>Battle Creek</t>
  </si>
  <si>
    <t>Birmingham</t>
  </si>
  <si>
    <t>Ferndale</t>
  </si>
  <si>
    <t>Grand Rapids</t>
  </si>
  <si>
    <t>Hamtrack</t>
  </si>
  <si>
    <t>Harrison</t>
  </si>
  <si>
    <t>Jackson</t>
  </si>
  <si>
    <t>Kalamazoo</t>
  </si>
  <si>
    <t>Lansing</t>
  </si>
  <si>
    <t>Meridian</t>
  </si>
  <si>
    <t>Montague</t>
  </si>
  <si>
    <t>Muskegon</t>
  </si>
  <si>
    <t>Petoskey</t>
  </si>
  <si>
    <t>Portage</t>
  </si>
  <si>
    <t>Rockford</t>
  </si>
  <si>
    <t>Royal Oak</t>
  </si>
  <si>
    <t>Saugatuck Township</t>
  </si>
  <si>
    <t>Sterling Heights</t>
  </si>
  <si>
    <t>Traverse City</t>
  </si>
  <si>
    <t>West Bloomfield Charter Township</t>
  </si>
  <si>
    <t>Westland</t>
  </si>
  <si>
    <t>Ypsilanti</t>
  </si>
  <si>
    <t>Michigan</t>
  </si>
  <si>
    <t>Wisconsin</t>
  </si>
  <si>
    <t>Ashland</t>
  </si>
  <si>
    <t>Burlington</t>
  </si>
  <si>
    <t>Columbus</t>
  </si>
  <si>
    <t>Eau claire</t>
  </si>
  <si>
    <t>Fitchburg</t>
  </si>
  <si>
    <t>Fon du lac</t>
  </si>
  <si>
    <t>Franklin</t>
  </si>
  <si>
    <t>Green bay</t>
  </si>
  <si>
    <t>Greenfield</t>
  </si>
  <si>
    <t>La Crosse</t>
  </si>
  <si>
    <t>Madision</t>
  </si>
  <si>
    <t>Menasha</t>
  </si>
  <si>
    <t>Menomonie</t>
  </si>
  <si>
    <t>Middleton</t>
  </si>
  <si>
    <t>Milwaukee</t>
  </si>
  <si>
    <t>Oregon</t>
  </si>
  <si>
    <t>Owen</t>
  </si>
  <si>
    <t>Pewaukee</t>
  </si>
  <si>
    <t>West bend</t>
  </si>
  <si>
    <t>Whitehall</t>
  </si>
  <si>
    <t>Albert lea</t>
  </si>
  <si>
    <t>Alexandria</t>
  </si>
  <si>
    <t>Burnsville</t>
  </si>
  <si>
    <t>Coon Rapids</t>
  </si>
  <si>
    <t>Duluth</t>
  </si>
  <si>
    <t>Eagan</t>
  </si>
  <si>
    <t>Eden Prairie</t>
  </si>
  <si>
    <t>Edina</t>
  </si>
  <si>
    <t>Falcon heights</t>
  </si>
  <si>
    <t>Golden Valley</t>
  </si>
  <si>
    <t>Hopkins</t>
  </si>
  <si>
    <t>Inver grove</t>
  </si>
  <si>
    <t>La crescent</t>
  </si>
  <si>
    <t>Mankato</t>
  </si>
  <si>
    <t>Maplewood</t>
  </si>
  <si>
    <t>Minneapolis</t>
  </si>
  <si>
    <t>Minnetonka</t>
  </si>
  <si>
    <t>New Brighton</t>
  </si>
  <si>
    <t>Red wing</t>
  </si>
  <si>
    <t>Richfield</t>
  </si>
  <si>
    <t>Rochester</t>
  </si>
  <si>
    <t>Roseville</t>
  </si>
  <si>
    <t>Wayzata</t>
  </si>
  <si>
    <t>Minnesota</t>
  </si>
  <si>
    <t>2</t>
  </si>
  <si>
    <t>1</t>
  </si>
  <si>
    <t>0</t>
  </si>
  <si>
    <t>Consultant</t>
  </si>
  <si>
    <t>Municipality</t>
  </si>
  <si>
    <t>Not stated (dataset blank)</t>
  </si>
  <si>
    <t>xz</t>
  </si>
  <si>
    <t>uscm_mcpa</t>
  </si>
  <si>
    <t>climate_mayors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</si>
</sst>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0.00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Calibri"/>
      <family val="2"/>
    </font>
    <font>
      <sz val="10"/>
      <color rgb="FFFFFFFF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b/>
      <sz val="10"/>
      <color rgb="FF0A0A0A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92CDDC"/>
        <bgColor rgb="FF92CDDC"/>
      </patternFill>
    </fill>
    <fill>
      <patternFill patternType="solid">
        <fgColor rgb="FF2E75B6"/>
        <bgColor rgb="FF2E75B6"/>
      </patternFill>
    </fill>
    <fill>
      <patternFill patternType="solid">
        <fgColor rgb="FF375623"/>
        <bgColor rgb="FF375623"/>
      </patternFill>
    </fill>
    <fill>
      <patternFill patternType="solid">
        <fgColor rgb="FF7030A0"/>
        <bgColor rgb="FF7030A0"/>
      </patternFill>
    </fill>
    <fill>
      <patternFill patternType="solid">
        <fgColor rgb="FF1F4E79"/>
        <bgColor rgb="FF1F4E79"/>
      </patternFill>
    </fill>
    <fill>
      <patternFill patternType="solid">
        <fgColor rgb="FFD99594"/>
        <bgColor rgb="FFD99594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2E75B6"/>
      </patternFill>
    </fill>
    <fill>
      <patternFill patternType="solid">
        <fgColor rgb="FF375623"/>
      </patternFill>
    </fill>
    <fill>
      <patternFill patternType="solid">
        <fgColor rgb="FF7030A0"/>
      </patternFill>
    </fill>
    <fill>
      <patternFill patternType="solid">
        <f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04">
    <xf numFmtId="0" fontId="0" fillId="0" borderId="0" xfId="0"/>
    <xf numFmtId="0" fontId="4" fillId="2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left" vertical="top" wrapText="1"/>
    </xf>
    <xf numFmtId="0" fontId="4" fillId="3" borderId="0" xfId="0" applyFont="1" applyFill="1" applyAlignment="1">
      <alignment horizontal="center" vertical="top" wrapText="1"/>
    </xf>
    <xf numFmtId="0" fontId="4" fillId="3" borderId="0" xfId="0" applyFont="1" applyFill="1" applyAlignment="1">
      <alignment vertical="top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8" borderId="0" xfId="0" applyFont="1" applyFill="1" applyAlignment="1">
      <alignment horizontal="left" vertical="top" wrapText="1"/>
    </xf>
    <xf numFmtId="0" fontId="4" fillId="9" borderId="1" xfId="0" applyFont="1" applyFill="1" applyBorder="1" applyAlignment="1">
      <alignment horizontal="left" vertical="top" wrapText="1"/>
    </xf>
    <xf numFmtId="0" fontId="4" fillId="9" borderId="0" xfId="0" applyFont="1" applyFill="1" applyAlignment="1">
      <alignment horizontal="left" vertical="top" wrapText="1"/>
    </xf>
    <xf numFmtId="0" fontId="4" fillId="10" borderId="0" xfId="0" applyFont="1" applyFill="1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/>
    </xf>
    <xf numFmtId="3" fontId="4" fillId="0" borderId="0" xfId="0" applyNumberFormat="1" applyFont="1" applyAlignment="1">
      <alignment vertical="top" wrapText="1"/>
    </xf>
    <xf numFmtId="0" fontId="4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6" fontId="4" fillId="0" borderId="0" xfId="0" applyNumberFormat="1" applyFont="1" applyAlignment="1">
      <alignment vertical="top" wrapText="1"/>
    </xf>
    <xf numFmtId="3" fontId="4" fillId="0" borderId="0" xfId="0" applyNumberFormat="1" applyFont="1" applyAlignment="1">
      <alignment vertical="top"/>
    </xf>
    <xf numFmtId="0" fontId="2" fillId="0" borderId="0" xfId="0" applyFont="1"/>
    <xf numFmtId="8" fontId="4" fillId="0" borderId="0" xfId="0" applyNumberFormat="1" applyFont="1" applyAlignment="1">
      <alignment vertical="top" wrapText="1"/>
    </xf>
    <xf numFmtId="0" fontId="1" fillId="0" borderId="0" xfId="0" applyFont="1" applyAlignment="1">
      <alignment wrapText="1"/>
    </xf>
    <xf numFmtId="3" fontId="7" fillId="0" borderId="3" xfId="0" applyNumberFormat="1" applyFont="1" applyBorder="1" applyAlignment="1">
      <alignment horizontal="right" vertical="top" wrapText="1"/>
    </xf>
    <xf numFmtId="0" fontId="4" fillId="15" borderId="0" xfId="0" applyFont="1" applyFill="1" applyAlignment="1">
      <alignment vertical="top"/>
    </xf>
    <xf numFmtId="0" fontId="4" fillId="15" borderId="0" xfId="0" applyFont="1" applyFill="1" applyAlignment="1">
      <alignment vertical="center" wrapText="1"/>
    </xf>
    <xf numFmtId="3" fontId="4" fillId="15" borderId="0" xfId="0" applyNumberFormat="1" applyFont="1" applyFill="1" applyAlignment="1">
      <alignment vertical="center" wrapText="1"/>
    </xf>
    <xf numFmtId="0" fontId="1" fillId="15" borderId="0" xfId="0" applyFont="1" applyFill="1"/>
    <xf numFmtId="0" fontId="4" fillId="15" borderId="0" xfId="0" applyFont="1" applyFill="1" applyAlignment="1">
      <alignment vertical="top" wrapText="1"/>
    </xf>
    <xf numFmtId="8" fontId="4" fillId="15" borderId="0" xfId="0" applyNumberFormat="1" applyFont="1" applyFill="1" applyAlignment="1">
      <alignment vertical="top" wrapText="1"/>
    </xf>
    <xf numFmtId="6" fontId="4" fillId="15" borderId="0" xfId="0" applyNumberFormat="1" applyFont="1" applyFill="1" applyAlignment="1">
      <alignment vertical="top" wrapText="1"/>
    </xf>
    <xf numFmtId="0" fontId="0" fillId="15" borderId="0" xfId="0" applyFill="1"/>
    <xf numFmtId="6" fontId="0" fillId="0" borderId="0" xfId="0" applyNumberFormat="1"/>
    <xf numFmtId="0" fontId="3" fillId="0" borderId="0" xfId="1" applyAlignment="1">
      <alignment wrapText="1"/>
    </xf>
    <xf numFmtId="3" fontId="4" fillId="0" borderId="0" xfId="0" applyNumberFormat="1" applyFont="1"/>
    <xf numFmtId="6" fontId="2" fillId="0" borderId="0" xfId="0" applyNumberFormat="1" applyFont="1"/>
    <xf numFmtId="6" fontId="1" fillId="0" borderId="0" xfId="0" applyNumberFormat="1" applyFont="1"/>
    <xf numFmtId="0" fontId="4" fillId="9" borderId="0" xfId="0" applyFont="1" applyFill="1"/>
    <xf numFmtId="3" fontId="4" fillId="15" borderId="0" xfId="0" applyNumberFormat="1" applyFont="1" applyFill="1" applyAlignment="1">
      <alignment vertical="top"/>
    </xf>
    <xf numFmtId="0" fontId="8" fillId="0" borderId="0" xfId="0" applyFont="1"/>
    <xf numFmtId="0" fontId="3" fillId="0" borderId="0" xfId="1"/>
    <xf numFmtId="0" fontId="4" fillId="0" borderId="0" xfId="0" applyFont="1" applyAlignment="1">
      <alignment wrapText="1"/>
    </xf>
    <xf numFmtId="0" fontId="4" fillId="9" borderId="0" xfId="0" applyFont="1" applyFill="1" applyAlignment="1">
      <alignment wrapText="1"/>
    </xf>
    <xf numFmtId="0" fontId="4" fillId="16" borderId="0" xfId="0" applyFont="1" applyFill="1" applyAlignment="1">
      <alignment horizontal="left" wrapText="1"/>
    </xf>
    <xf numFmtId="0" fontId="1" fillId="16" borderId="0" xfId="0" applyFont="1" applyFill="1"/>
    <xf numFmtId="0" fontId="4" fillId="0" borderId="0" xfId="0" applyFont="1"/>
    <xf numFmtId="0" fontId="9" fillId="0" borderId="2" xfId="0" applyFont="1" applyBorder="1" applyAlignment="1">
      <alignment horizontal="left" vertical="center"/>
    </xf>
    <xf numFmtId="3" fontId="0" fillId="0" borderId="0" xfId="0" applyNumberFormat="1"/>
    <xf numFmtId="0" fontId="10" fillId="0" borderId="2" xfId="0" applyFont="1" applyBorder="1" applyAlignment="1">
      <alignment horizontal="left" vertical="center"/>
    </xf>
    <xf numFmtId="164" fontId="11" fillId="0" borderId="4" xfId="0" applyNumberFormat="1" applyFont="1" applyBorder="1" applyAlignment="1">
      <alignment horizontal="left" vertical="center"/>
    </xf>
    <xf numFmtId="0" fontId="11" fillId="0" borderId="4" xfId="0" applyFont="1" applyBorder="1" applyAlignment="1">
      <alignment horizontal="left" vertical="center"/>
    </xf>
    <xf numFmtId="3" fontId="11" fillId="0" borderId="4" xfId="0" applyNumberFormat="1" applyFont="1" applyBorder="1" applyAlignment="1">
      <alignment horizontal="left" vertical="center"/>
    </xf>
    <xf numFmtId="0" fontId="9" fillId="15" borderId="2" xfId="0" applyFont="1" applyFill="1" applyBorder="1" applyAlignment="1">
      <alignment horizontal="left" vertical="center"/>
    </xf>
    <xf numFmtId="0" fontId="11" fillId="15" borderId="4" xfId="0" applyFont="1" applyFill="1" applyBorder="1" applyAlignment="1">
      <alignment horizontal="left" vertical="center"/>
    </xf>
    <xf numFmtId="164" fontId="11" fillId="15" borderId="4" xfId="0" applyNumberFormat="1" applyFont="1" applyFill="1" applyBorder="1" applyAlignment="1">
      <alignment horizontal="left" vertical="center"/>
    </xf>
    <xf numFmtId="3" fontId="11" fillId="15" borderId="4" xfId="0" applyNumberFormat="1" applyFont="1" applyFill="1" applyBorder="1" applyAlignment="1">
      <alignment horizontal="left" vertical="center"/>
    </xf>
    <xf numFmtId="0" fontId="10" fillId="15" borderId="2" xfId="0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0" fillId="15" borderId="0" xfId="0" applyFill="1" applyAlignment="1">
      <alignment horizontal="left"/>
    </xf>
    <xf numFmtId="0" fontId="4" fillId="3" borderId="0" xfId="0" applyFont="1" applyFill="1" applyAlignment="1">
      <alignment horizontal="left" vertical="top"/>
    </xf>
    <xf numFmtId="0" fontId="1" fillId="0" borderId="0" xfId="0" applyFont="1" applyAlignment="1">
      <alignment horizontal="left"/>
    </xf>
    <xf numFmtId="0" fontId="1" fillId="16" borderId="0" xfId="0" applyFont="1" applyFill="1" applyAlignment="1">
      <alignment horizontal="left"/>
    </xf>
    <xf numFmtId="0" fontId="4" fillId="0" borderId="0" xfId="0" applyFont="1" applyAlignment="1">
      <alignment horizontal="left" vertical="top"/>
    </xf>
    <xf numFmtId="3" fontId="4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center" wrapText="1"/>
    </xf>
    <xf numFmtId="3" fontId="4" fillId="0" borderId="0" xfId="0" applyNumberFormat="1" applyFont="1" applyAlignment="1">
      <alignment horizontal="left" vertical="center" wrapText="1"/>
    </xf>
    <xf numFmtId="0" fontId="6" fillId="0" borderId="2" xfId="0" applyFont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6" fontId="4" fillId="0" borderId="0" xfId="0" applyNumberFormat="1" applyFont="1" applyAlignment="1">
      <alignment horizontal="left" vertical="top" wrapText="1"/>
    </xf>
    <xf numFmtId="3" fontId="4" fillId="0" borderId="0" xfId="0" applyNumberFormat="1" applyFont="1" applyAlignment="1">
      <alignment horizontal="left" vertical="top"/>
    </xf>
    <xf numFmtId="8" fontId="4" fillId="0" borderId="0" xfId="0" applyNumberFormat="1" applyFont="1" applyAlignment="1">
      <alignment horizontal="left" vertical="top" wrapText="1"/>
    </xf>
    <xf numFmtId="3" fontId="7" fillId="0" borderId="3" xfId="0" applyNumberFormat="1" applyFont="1" applyBorder="1" applyAlignment="1">
      <alignment horizontal="left" vertical="top" wrapText="1"/>
    </xf>
    <xf numFmtId="6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3" fontId="4" fillId="0" borderId="0" xfId="0" applyNumberFormat="1" applyFont="1" applyAlignment="1">
      <alignment horizontal="left"/>
    </xf>
    <xf numFmtId="6" fontId="2" fillId="0" borderId="0" xfId="0" applyNumberFormat="1" applyFont="1" applyAlignment="1">
      <alignment horizontal="left"/>
    </xf>
    <xf numFmtId="6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4" fillId="15" borderId="0" xfId="0" applyFont="1" applyFill="1" applyAlignment="1">
      <alignment horizontal="left" vertical="top"/>
    </xf>
    <xf numFmtId="0" fontId="6" fillId="15" borderId="2" xfId="0" applyFont="1" applyFill="1" applyBorder="1" applyAlignment="1">
      <alignment horizontal="left" vertical="center" wrapText="1"/>
    </xf>
    <xf numFmtId="3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0" fontId="0" fillId="17" borderId="0" xfId="0" applyFill="1" applyAlignment="1">
      <alignment horizontal="left"/>
    </xf>
    <xf numFmtId="0" fontId="4" fillId="17" borderId="0" xfId="0" applyFont="1" applyFill="1" applyAlignment="1">
      <alignment horizontal="left" vertical="top"/>
    </xf>
    <xf numFmtId="0" fontId="6" fillId="17" borderId="2" xfId="0" applyFont="1" applyFill="1" applyBorder="1" applyAlignment="1">
      <alignment horizontal="left" vertical="center" wrapText="1"/>
    </xf>
    <xf numFmtId="0" fontId="4" fillId="17" borderId="0" xfId="0" applyFont="1" applyFill="1" applyAlignment="1">
      <alignment horizontal="left" wrapText="1"/>
    </xf>
    <xf numFmtId="0" fontId="4" fillId="17" borderId="0" xfId="0" applyFont="1" applyFill="1" applyAlignment="1">
      <alignment horizontal="left"/>
    </xf>
    <xf numFmtId="0" fontId="0" fillId="17" borderId="0" xfId="0" applyFill="1"/>
    <xf numFmtId="164" fontId="11" fillId="17" borderId="4" xfId="0" applyNumberFormat="1" applyFont="1" applyFill="1" applyBorder="1" applyAlignment="1">
      <alignment horizontal="left" vertical="center"/>
    </xf>
    <xf numFmtId="0" fontId="11" fillId="17" borderId="4" xfId="0" applyFont="1" applyFill="1" applyBorder="1" applyAlignment="1">
      <alignment horizontal="left" vertical="center"/>
    </xf>
    <xf numFmtId="0" fontId="0" fillId="18" borderId="0" xfId="0" applyFill="1" applyAlignment="1">
      <alignment horizontal="left"/>
    </xf>
    <xf numFmtId="0" fontId="6" fillId="18" borderId="2" xfId="0" applyFont="1" applyFill="1" applyBorder="1" applyAlignment="1">
      <alignment horizontal="left" vertical="center" wrapText="1"/>
    </xf>
    <xf numFmtId="164" fontId="11" fillId="18" borderId="4" xfId="0" applyNumberFormat="1" applyFont="1" applyFill="1" applyBorder="1" applyAlignment="1">
      <alignment horizontal="left" vertical="center"/>
    </xf>
    <xf numFmtId="3" fontId="11" fillId="18" borderId="4" xfId="0" applyNumberFormat="1" applyFont="1" applyFill="1" applyBorder="1" applyAlignment="1">
      <alignment horizontal="left" vertical="center"/>
    </xf>
    <xf numFmtId="0" fontId="11" fillId="18" borderId="4" xfId="0" applyFont="1" applyFill="1" applyBorder="1" applyAlignment="1">
      <alignment horizontal="left" vertical="center"/>
    </xf>
    <xf numFmtId="0" fontId="0" fillId="18" borderId="0" xfId="0" applyFill="1"/>
    <xf numFmtId="0" fontId="10" fillId="18" borderId="2" xfId="0" applyFont="1" applyFill="1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vernonhills.org/961/Sustainability-%20not%201,%20because%20there%20is%20no%20environmental/sustainability%20commission%20or%20advisory%20body%20shown" TargetMode="External"/><Relationship Id="rId1" Type="http://schemas.openxmlformats.org/officeDocument/2006/relationships/hyperlink" Target="https://www.deerfield.il.us/458/Sustainability-Commission%20Page%202%20&#8212;%20shows%20the%20Sustainability%20Commission%20represented%20in%20the%20Working%20Group%20and%20lists%20the%20staff%20support%20team.Page%204%20&#8212;%20says%20the%20Village%20Board%20established%20a%20GHG%20Reduction%20Ad%20Hoc%20Working%20Group%20to%20complete%20the%20initial%20planning%20work.Page%2039%20&#8212;%20says%20staff%20will%20work%20with%20stakeholders%20including%20boards%20and%20commissions%20to%20implement%20strategies,%20which%20suggests%20the%20commission%20is%20supportive,%20but%20not%20the%20formal%20implementation-tracking%20body.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400D0-ABD0-4F88-B1B5-03038EA1D8DC}">
  <dimension ref="A1:BA985"/>
  <sheetViews>
    <sheetView tabSelected="1" topLeftCell="AK1" zoomScale="57" zoomScaleNormal="100" workbookViewId="0">
      <selection activeCell="AY34" sqref="AY34"/>
    </sheetView>
  </sheetViews>
  <sheetFormatPr defaultColWidth="14.44140625" defaultRowHeight="14.4" x14ac:dyDescent="0.3"/>
  <cols>
    <col min="1" max="1" width="30.33203125" customWidth="1"/>
    <col min="2" max="2" width="15.6640625" customWidth="1"/>
    <col min="3" max="3" width="12" customWidth="1"/>
    <col min="4" max="4" width="11.6640625" customWidth="1"/>
    <col min="5" max="5" width="11.88671875" customWidth="1"/>
    <col min="6" max="8" width="8.6640625" customWidth="1"/>
    <col min="9" max="9" width="14.88671875" customWidth="1"/>
    <col min="10" max="11" width="8.6640625" customWidth="1"/>
    <col min="12" max="12" width="15.5546875" customWidth="1"/>
    <col min="17" max="17" width="12.33203125" customWidth="1"/>
    <col min="18" max="20" width="8.6640625" customWidth="1"/>
    <col min="21" max="21" width="15.44140625" customWidth="1"/>
    <col min="22" max="22" width="8.6640625" customWidth="1"/>
    <col min="23" max="23" width="15.33203125" customWidth="1"/>
    <col min="24" max="24" width="18.6640625" customWidth="1"/>
    <col min="25" max="25" width="8.33203125" customWidth="1"/>
    <col min="26" max="29" width="8.6640625" customWidth="1"/>
    <col min="30" max="30" width="18.6640625" customWidth="1"/>
    <col min="31" max="31" width="16.33203125" customWidth="1"/>
    <col min="32" max="32" width="12.109375" customWidth="1"/>
    <col min="33" max="34" width="8.6640625" customWidth="1"/>
    <col min="35" max="35" width="16.109375" customWidth="1"/>
    <col min="36" max="36" width="13.33203125" customWidth="1"/>
    <col min="37" max="37" width="12.33203125" customWidth="1"/>
    <col min="38" max="38" width="15.21875" customWidth="1"/>
    <col min="39" max="39" width="20.33203125" customWidth="1"/>
    <col min="40" max="40" width="16.109375" customWidth="1"/>
    <col min="41" max="41" width="13.44140625" customWidth="1"/>
    <col min="42" max="42" width="19.6640625" customWidth="1"/>
    <col min="43" max="43" width="15.33203125" customWidth="1"/>
    <col min="44" max="46" width="7.88671875" customWidth="1"/>
    <col min="47" max="47" width="10.44140625" customWidth="1"/>
    <col min="48" max="48" width="13.33203125" customWidth="1"/>
    <col min="49" max="49" width="12.21875" customWidth="1"/>
    <col min="50" max="50" width="13.33203125" customWidth="1"/>
    <col min="51" max="51" width="12.6640625" customWidth="1"/>
    <col min="52" max="52" width="20.88671875" customWidth="1"/>
  </cols>
  <sheetData>
    <row r="1" spans="1:53" ht="60.75" customHeight="1" x14ac:dyDescent="0.3">
      <c r="A1" s="1" t="s">
        <v>0</v>
      </c>
      <c r="B1" s="1" t="s">
        <v>111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66" t="s">
        <v>12</v>
      </c>
      <c r="O1" s="66" t="s">
        <v>13</v>
      </c>
      <c r="P1" s="66" t="s">
        <v>14</v>
      </c>
      <c r="Q1" s="5" t="s">
        <v>15</v>
      </c>
      <c r="R1" s="6" t="s">
        <v>16</v>
      </c>
      <c r="S1" s="7" t="s">
        <v>17</v>
      </c>
      <c r="T1" s="8" t="s">
        <v>18</v>
      </c>
      <c r="U1" s="9" t="s">
        <v>19</v>
      </c>
      <c r="V1" s="9" t="s">
        <v>20</v>
      </c>
      <c r="W1" s="9" t="s">
        <v>21</v>
      </c>
      <c r="X1" s="9" t="s">
        <v>22</v>
      </c>
      <c r="Y1" s="9" t="s">
        <v>23</v>
      </c>
      <c r="Z1" s="9" t="s">
        <v>24</v>
      </c>
      <c r="AA1" s="9" t="s">
        <v>25</v>
      </c>
      <c r="AB1" s="9" t="s">
        <v>26</v>
      </c>
      <c r="AC1" s="9" t="s">
        <v>27</v>
      </c>
      <c r="AD1" s="9" t="s">
        <v>28</v>
      </c>
      <c r="AE1" s="9" t="s">
        <v>29</v>
      </c>
      <c r="AF1" s="9" t="s">
        <v>30</v>
      </c>
      <c r="AG1" s="9" t="s">
        <v>31</v>
      </c>
      <c r="AH1" s="9" t="s">
        <v>32</v>
      </c>
      <c r="AI1" s="10" t="s">
        <v>33</v>
      </c>
      <c r="AJ1" s="10" t="s">
        <v>34</v>
      </c>
      <c r="AK1" s="10" t="s">
        <v>35</v>
      </c>
      <c r="AL1" s="10" t="s">
        <v>36</v>
      </c>
      <c r="AM1" s="11" t="s">
        <v>37</v>
      </c>
      <c r="AN1" s="11" t="s">
        <v>38</v>
      </c>
      <c r="AO1" s="10" t="s">
        <v>39</v>
      </c>
      <c r="AP1" s="12" t="s">
        <v>40</v>
      </c>
      <c r="AQ1" s="12" t="s">
        <v>41</v>
      </c>
      <c r="AR1" s="67" t="s">
        <v>43</v>
      </c>
      <c r="AS1" s="14" t="s">
        <v>44</v>
      </c>
      <c r="AT1" s="14" t="s">
        <v>45</v>
      </c>
      <c r="AU1" s="14" t="s">
        <v>46</v>
      </c>
      <c r="AV1" t="s">
        <v>212</v>
      </c>
      <c r="AW1" t="s">
        <v>213</v>
      </c>
      <c r="AX1" s="50" t="s">
        <v>47</v>
      </c>
      <c r="AY1" s="15" t="s">
        <v>48</v>
      </c>
      <c r="AZ1" s="12" t="s">
        <v>49</v>
      </c>
      <c r="BA1" s="68" t="s">
        <v>50</v>
      </c>
    </row>
    <row r="2" spans="1:53" ht="14.25" customHeight="1" x14ac:dyDescent="0.3">
      <c r="A2" s="69" t="s">
        <v>51</v>
      </c>
      <c r="B2" s="69" t="s">
        <v>112</v>
      </c>
      <c r="C2" s="70">
        <v>19000</v>
      </c>
      <c r="D2" s="69">
        <v>40.9</v>
      </c>
      <c r="E2" s="71">
        <v>2372</v>
      </c>
      <c r="F2" s="71">
        <v>3355</v>
      </c>
      <c r="G2" s="71">
        <v>1774</v>
      </c>
      <c r="H2" s="71">
        <v>137</v>
      </c>
      <c r="I2" s="72">
        <v>694359100</v>
      </c>
      <c r="J2" s="71">
        <v>84891</v>
      </c>
      <c r="K2" s="71">
        <v>38222</v>
      </c>
      <c r="L2" s="69">
        <v>7733</v>
      </c>
      <c r="M2" s="69">
        <v>2.48</v>
      </c>
      <c r="N2" s="67">
        <v>994</v>
      </c>
      <c r="O2" s="67">
        <v>296</v>
      </c>
      <c r="P2" s="67">
        <v>10796</v>
      </c>
      <c r="Q2" s="73">
        <v>9</v>
      </c>
      <c r="R2" s="73">
        <v>10</v>
      </c>
      <c r="S2" s="73">
        <v>10</v>
      </c>
      <c r="T2" s="73">
        <v>29</v>
      </c>
      <c r="U2" s="74">
        <v>0.73599999999999999</v>
      </c>
      <c r="V2" s="74">
        <v>-0.86499999999999999</v>
      </c>
      <c r="W2" s="74">
        <v>0.11700000000000001</v>
      </c>
      <c r="X2" s="75">
        <v>735</v>
      </c>
      <c r="Y2" s="74">
        <v>1.0200000000000001E-2</v>
      </c>
      <c r="Z2" s="74">
        <v>0.45600000000000002</v>
      </c>
      <c r="AA2" s="74">
        <v>8.6400000000000005E-2</v>
      </c>
      <c r="AB2" s="74">
        <v>0.1482</v>
      </c>
      <c r="AC2" s="74">
        <v>0.77300000000000002</v>
      </c>
      <c r="AD2" s="75">
        <v>4140</v>
      </c>
      <c r="AE2" s="74">
        <v>1.605</v>
      </c>
      <c r="AF2" s="74">
        <v>0.107</v>
      </c>
      <c r="AG2" s="74">
        <v>0.53900000000000003</v>
      </c>
      <c r="AH2" s="74">
        <v>1.855</v>
      </c>
      <c r="AI2" s="69">
        <v>17284161</v>
      </c>
      <c r="AJ2" s="69">
        <v>10599019</v>
      </c>
      <c r="AK2" s="69">
        <v>11235000</v>
      </c>
      <c r="AL2" s="69">
        <v>0</v>
      </c>
      <c r="AM2" s="69">
        <v>3770000</v>
      </c>
      <c r="AN2" s="69">
        <v>0</v>
      </c>
      <c r="AO2" s="69">
        <v>55014181</v>
      </c>
      <c r="AP2" s="67" t="s">
        <v>52</v>
      </c>
      <c r="AQ2" s="69">
        <v>2024</v>
      </c>
      <c r="AR2" s="69">
        <v>1</v>
      </c>
      <c r="AS2" s="69">
        <v>1</v>
      </c>
      <c r="AT2" s="69">
        <v>0</v>
      </c>
      <c r="AU2" s="69">
        <v>1</v>
      </c>
      <c r="AV2" s="69">
        <v>0</v>
      </c>
      <c r="AW2" s="69">
        <v>0</v>
      </c>
      <c r="AX2" s="69">
        <v>0</v>
      </c>
      <c r="AY2" s="69"/>
      <c r="AZ2" s="67">
        <f>SUM(AR2:AX2)</f>
        <v>3</v>
      </c>
      <c r="BA2" s="64" t="s">
        <v>205</v>
      </c>
    </row>
    <row r="3" spans="1:53" ht="14.25" customHeight="1" x14ac:dyDescent="0.3">
      <c r="A3" s="69" t="s">
        <v>55</v>
      </c>
      <c r="B3" s="69" t="s">
        <v>112</v>
      </c>
      <c r="C3" s="76">
        <v>43072</v>
      </c>
      <c r="D3" s="69">
        <v>41.6</v>
      </c>
      <c r="E3" s="71">
        <v>2961</v>
      </c>
      <c r="F3" s="71">
        <v>10925</v>
      </c>
      <c r="G3" s="71">
        <v>6455</v>
      </c>
      <c r="H3" s="71">
        <v>781</v>
      </c>
      <c r="I3" s="72">
        <v>2167760600</v>
      </c>
      <c r="J3" s="71">
        <v>117921</v>
      </c>
      <c r="K3" s="71">
        <v>53787</v>
      </c>
      <c r="L3" s="69">
        <v>15764</v>
      </c>
      <c r="M3" s="69">
        <v>2.71</v>
      </c>
      <c r="N3" s="67">
        <v>2645</v>
      </c>
      <c r="O3" s="67">
        <v>790</v>
      </c>
      <c r="P3" s="67">
        <v>23654</v>
      </c>
      <c r="Q3" s="73">
        <v>3</v>
      </c>
      <c r="R3" s="73">
        <v>7</v>
      </c>
      <c r="S3" s="73">
        <v>4</v>
      </c>
      <c r="T3" s="73">
        <v>14</v>
      </c>
      <c r="U3" s="74">
        <v>4.29</v>
      </c>
      <c r="V3" s="74">
        <v>0.03</v>
      </c>
      <c r="W3" s="74">
        <v>0.45</v>
      </c>
      <c r="X3" s="75">
        <v>1624</v>
      </c>
      <c r="Y3" s="74">
        <v>3.7999999999999999E-2</v>
      </c>
      <c r="Z3" s="74">
        <v>0.73</v>
      </c>
      <c r="AA3" s="74">
        <v>2.4E-2</v>
      </c>
      <c r="AB3" s="74">
        <v>2E-3</v>
      </c>
      <c r="AC3" s="74">
        <v>0.61</v>
      </c>
      <c r="AD3" s="75">
        <v>4391</v>
      </c>
      <c r="AE3" s="74">
        <v>0.93</v>
      </c>
      <c r="AF3" s="74">
        <v>6.5000000000000002E-2</v>
      </c>
      <c r="AG3" s="74">
        <v>0.56999999999999995</v>
      </c>
      <c r="AH3" s="74">
        <v>1.76</v>
      </c>
      <c r="AI3" s="69">
        <v>32750493</v>
      </c>
      <c r="AJ3" s="69">
        <v>24365045</v>
      </c>
      <c r="AK3" s="69">
        <v>42766180</v>
      </c>
      <c r="AL3" s="69">
        <v>19000000</v>
      </c>
      <c r="AM3" s="69">
        <v>0</v>
      </c>
      <c r="AN3" s="69">
        <v>8193790</v>
      </c>
      <c r="AO3" s="69">
        <v>144086940</v>
      </c>
      <c r="AP3" s="67" t="s">
        <v>52</v>
      </c>
      <c r="AQ3" s="69">
        <v>2023</v>
      </c>
      <c r="AR3" s="69">
        <v>1</v>
      </c>
      <c r="AS3" s="69">
        <v>0</v>
      </c>
      <c r="AT3" s="69">
        <v>0</v>
      </c>
      <c r="AU3" s="69">
        <v>0</v>
      </c>
      <c r="AV3" s="69">
        <v>0</v>
      </c>
      <c r="AW3" s="69">
        <v>0</v>
      </c>
      <c r="AX3" s="69">
        <v>0</v>
      </c>
      <c r="AY3" s="69"/>
      <c r="AZ3" s="67">
        <f t="shared" ref="AZ3:AZ66" si="0">SUM(AR3:AX3)</f>
        <v>1</v>
      </c>
      <c r="BA3" s="64" t="s">
        <v>206</v>
      </c>
    </row>
    <row r="4" spans="1:53" ht="14.25" customHeight="1" thickBot="1" x14ac:dyDescent="0.35">
      <c r="A4" s="69" t="s">
        <v>58</v>
      </c>
      <c r="B4" s="69" t="s">
        <v>112</v>
      </c>
      <c r="C4" s="76">
        <v>17826</v>
      </c>
      <c r="D4" s="69">
        <v>39</v>
      </c>
      <c r="E4" s="71">
        <v>2028</v>
      </c>
      <c r="F4" s="71">
        <v>3970</v>
      </c>
      <c r="G4" s="71">
        <v>1715</v>
      </c>
      <c r="H4" s="71">
        <v>34</v>
      </c>
      <c r="I4" s="72">
        <v>796844300</v>
      </c>
      <c r="J4" s="71">
        <v>105344</v>
      </c>
      <c r="K4" s="71">
        <v>44717</v>
      </c>
      <c r="L4" s="69">
        <v>6384</v>
      </c>
      <c r="M4" s="69">
        <v>2.79</v>
      </c>
      <c r="N4" s="67">
        <v>796</v>
      </c>
      <c r="O4" s="67">
        <v>530</v>
      </c>
      <c r="P4" s="67">
        <v>10623</v>
      </c>
      <c r="Q4" s="73">
        <v>5</v>
      </c>
      <c r="R4" s="73">
        <v>13</v>
      </c>
      <c r="S4" s="73">
        <v>11</v>
      </c>
      <c r="T4" s="73">
        <v>29</v>
      </c>
      <c r="U4" s="74">
        <v>7.23</v>
      </c>
      <c r="V4" s="74">
        <v>8.0000000000000004E-4</v>
      </c>
      <c r="W4" s="74">
        <v>0.35499999999999998</v>
      </c>
      <c r="X4" s="77">
        <v>685.64</v>
      </c>
      <c r="Y4" s="74">
        <v>2.8000000000000001E-2</v>
      </c>
      <c r="Z4" s="74">
        <v>0.30499999999999999</v>
      </c>
      <c r="AA4" s="74">
        <v>2.1999999999999999E-2</v>
      </c>
      <c r="AB4" s="74">
        <v>5.0000000000000001E-3</v>
      </c>
      <c r="AC4" s="74">
        <v>0.58399999999999996</v>
      </c>
      <c r="AD4" s="75">
        <v>1628</v>
      </c>
      <c r="AE4" s="74">
        <v>1.4</v>
      </c>
      <c r="AF4" s="74">
        <v>2.9000000000000001E-2</v>
      </c>
      <c r="AG4" s="74">
        <v>0.39500000000000002</v>
      </c>
      <c r="AH4" s="74">
        <v>2.5299999999999998</v>
      </c>
      <c r="AI4" s="69">
        <v>5697772</v>
      </c>
      <c r="AJ4" s="69">
        <v>6269864</v>
      </c>
      <c r="AK4" s="69">
        <v>0</v>
      </c>
      <c r="AL4" s="69">
        <v>1929076</v>
      </c>
      <c r="AM4" s="69">
        <v>10295000</v>
      </c>
      <c r="AN4" s="69">
        <v>0</v>
      </c>
      <c r="AO4" s="69">
        <v>12224076</v>
      </c>
      <c r="AP4" s="67" t="s">
        <v>59</v>
      </c>
      <c r="AQ4" s="69">
        <v>2025</v>
      </c>
      <c r="AR4" s="69">
        <v>1</v>
      </c>
      <c r="AS4" s="69">
        <v>0</v>
      </c>
      <c r="AT4" s="69">
        <v>0</v>
      </c>
      <c r="AU4" s="69">
        <v>0</v>
      </c>
      <c r="AV4" s="69">
        <v>0</v>
      </c>
      <c r="AW4" s="69">
        <v>0</v>
      </c>
      <c r="AX4" s="69">
        <v>0</v>
      </c>
      <c r="AY4" s="69"/>
      <c r="AZ4" s="67">
        <f t="shared" si="0"/>
        <v>1</v>
      </c>
      <c r="BA4" s="64" t="s">
        <v>205</v>
      </c>
    </row>
    <row r="5" spans="1:53" ht="14.25" customHeight="1" thickBot="1" x14ac:dyDescent="0.35">
      <c r="A5" s="69" t="s">
        <v>61</v>
      </c>
      <c r="B5" s="69" t="s">
        <v>112</v>
      </c>
      <c r="C5" s="76">
        <v>6420</v>
      </c>
      <c r="D5" s="69">
        <v>47.9</v>
      </c>
      <c r="E5" s="67">
        <v>1023</v>
      </c>
      <c r="F5" s="67">
        <v>998</v>
      </c>
      <c r="G5" s="67">
        <v>493</v>
      </c>
      <c r="H5" s="67">
        <v>89</v>
      </c>
      <c r="I5" s="67">
        <v>326459200</v>
      </c>
      <c r="J5" s="67">
        <v>78603</v>
      </c>
      <c r="K5" s="67">
        <v>51722</v>
      </c>
      <c r="L5" s="69">
        <v>2803</v>
      </c>
      <c r="M5" s="69">
        <v>2.25</v>
      </c>
      <c r="N5" s="67">
        <v>480</v>
      </c>
      <c r="O5" s="67">
        <v>300</v>
      </c>
      <c r="P5" s="67">
        <v>3831</v>
      </c>
      <c r="Q5" s="73">
        <v>0</v>
      </c>
      <c r="R5" s="73">
        <v>0</v>
      </c>
      <c r="S5" s="73">
        <v>0</v>
      </c>
      <c r="T5" s="73">
        <v>0</v>
      </c>
      <c r="U5" s="74">
        <v>4.25</v>
      </c>
      <c r="V5" s="74">
        <v>0.26</v>
      </c>
      <c r="W5" s="74">
        <v>0.40899999999999997</v>
      </c>
      <c r="X5" s="75">
        <v>6597</v>
      </c>
      <c r="Y5" s="74">
        <v>9.6000000000000002E-2</v>
      </c>
      <c r="Z5" s="74">
        <v>2.4E-2</v>
      </c>
      <c r="AA5" s="74">
        <v>3.3000000000000002E-2</v>
      </c>
      <c r="AB5" s="74">
        <v>4.0000000000000001E-3</v>
      </c>
      <c r="AC5" s="74">
        <v>0.67400000000000004</v>
      </c>
      <c r="AD5" s="75">
        <v>4587</v>
      </c>
      <c r="AE5" s="74">
        <v>0.58599999999999997</v>
      </c>
      <c r="AF5" s="74">
        <v>3.4000000000000002E-2</v>
      </c>
      <c r="AG5" s="74">
        <v>0.47399999999999998</v>
      </c>
      <c r="AH5" s="74">
        <v>2</v>
      </c>
      <c r="AI5" s="76">
        <v>6832227</v>
      </c>
      <c r="AJ5" s="76">
        <v>11910692</v>
      </c>
      <c r="AK5" s="78">
        <v>46695000</v>
      </c>
      <c r="AL5" s="69">
        <v>0</v>
      </c>
      <c r="AM5" s="69">
        <v>0</v>
      </c>
      <c r="AN5" s="69">
        <v>0</v>
      </c>
      <c r="AO5" s="78">
        <v>46695000</v>
      </c>
      <c r="AP5" s="67" t="s">
        <v>52</v>
      </c>
      <c r="AQ5" s="69">
        <v>2021</v>
      </c>
      <c r="AR5" s="69">
        <v>1</v>
      </c>
      <c r="AS5" s="69">
        <v>0</v>
      </c>
      <c r="AT5" s="69">
        <v>0</v>
      </c>
      <c r="AU5" s="69">
        <v>1</v>
      </c>
      <c r="AV5" s="69">
        <v>0</v>
      </c>
      <c r="AW5" s="69">
        <v>0</v>
      </c>
      <c r="AX5" s="69">
        <v>0</v>
      </c>
      <c r="AY5" s="69"/>
      <c r="AZ5" s="67">
        <f t="shared" si="0"/>
        <v>2</v>
      </c>
      <c r="BA5" s="64" t="s">
        <v>205</v>
      </c>
    </row>
    <row r="6" spans="1:53" ht="14.25" customHeight="1" x14ac:dyDescent="0.3">
      <c r="A6" s="69" t="s">
        <v>63</v>
      </c>
      <c r="B6" s="69" t="s">
        <v>112</v>
      </c>
      <c r="C6" s="69">
        <v>3694</v>
      </c>
      <c r="D6" s="69">
        <v>44.4</v>
      </c>
      <c r="E6" s="71">
        <v>238</v>
      </c>
      <c r="F6" s="71">
        <v>949</v>
      </c>
      <c r="G6" s="71">
        <v>606</v>
      </c>
      <c r="H6" s="71">
        <v>42</v>
      </c>
      <c r="I6" s="72">
        <v>295359500</v>
      </c>
      <c r="J6" s="71">
        <v>161422</v>
      </c>
      <c r="K6" s="71">
        <v>73578</v>
      </c>
      <c r="L6" s="69">
        <v>1280</v>
      </c>
      <c r="M6" s="69">
        <v>2.84</v>
      </c>
      <c r="N6" s="67">
        <v>9809</v>
      </c>
      <c r="O6" s="67">
        <v>2435</v>
      </c>
      <c r="P6" s="67">
        <v>22813</v>
      </c>
      <c r="Q6" s="73">
        <v>3</v>
      </c>
      <c r="R6" s="73">
        <v>10</v>
      </c>
      <c r="S6" s="73">
        <v>6</v>
      </c>
      <c r="T6" s="73">
        <v>19</v>
      </c>
      <c r="U6" s="74">
        <v>8.06</v>
      </c>
      <c r="V6" s="74">
        <v>1.68</v>
      </c>
      <c r="W6" s="74">
        <v>3.6999999999999999E-4</v>
      </c>
      <c r="X6" s="77">
        <v>3.07</v>
      </c>
      <c r="Y6" s="74">
        <v>0</v>
      </c>
      <c r="Z6" s="74">
        <v>0</v>
      </c>
      <c r="AA6" s="74">
        <v>0</v>
      </c>
      <c r="AB6" s="74">
        <v>0</v>
      </c>
      <c r="AC6" s="74">
        <v>0.57499999999999996</v>
      </c>
      <c r="AD6" s="75">
        <v>3005</v>
      </c>
      <c r="AE6" s="74">
        <v>0.56000000000000005</v>
      </c>
      <c r="AF6" s="74">
        <v>9.7000000000000003E-2</v>
      </c>
      <c r="AG6" s="74">
        <v>6.0999999999999999E-2</v>
      </c>
      <c r="AH6" s="74">
        <v>17.27</v>
      </c>
      <c r="AI6" s="69">
        <v>2823382</v>
      </c>
      <c r="AJ6" s="69">
        <v>3101991</v>
      </c>
      <c r="AK6" s="69">
        <v>53700000</v>
      </c>
      <c r="AL6" s="69">
        <v>0</v>
      </c>
      <c r="AM6" s="69">
        <v>0</v>
      </c>
      <c r="AN6" s="69">
        <v>0</v>
      </c>
      <c r="AO6" s="69">
        <v>53700000</v>
      </c>
      <c r="AP6" s="67" t="s">
        <v>52</v>
      </c>
      <c r="AQ6" s="69">
        <v>2020</v>
      </c>
      <c r="AR6" s="69">
        <v>1</v>
      </c>
      <c r="AS6" s="69">
        <v>0</v>
      </c>
      <c r="AT6" s="69">
        <v>0</v>
      </c>
      <c r="AU6" s="69">
        <v>1</v>
      </c>
      <c r="AV6" s="69">
        <v>0</v>
      </c>
      <c r="AW6" s="69">
        <v>0</v>
      </c>
      <c r="AX6" s="69">
        <v>0</v>
      </c>
      <c r="AY6" s="69"/>
      <c r="AZ6" s="67">
        <f t="shared" si="0"/>
        <v>2</v>
      </c>
      <c r="BA6" s="64" t="s">
        <v>207</v>
      </c>
    </row>
    <row r="7" spans="1:53" ht="14.25" customHeight="1" x14ac:dyDescent="0.3">
      <c r="A7" s="69" t="s">
        <v>65</v>
      </c>
      <c r="B7" s="69" t="s">
        <v>112</v>
      </c>
      <c r="C7" s="76">
        <v>19196</v>
      </c>
      <c r="D7" s="69">
        <v>44.6</v>
      </c>
      <c r="E7" s="71">
        <v>664</v>
      </c>
      <c r="F7" s="71">
        <v>5251</v>
      </c>
      <c r="G7" s="71">
        <v>3549</v>
      </c>
      <c r="H7" s="71">
        <v>558</v>
      </c>
      <c r="I7" s="72">
        <v>1556555100</v>
      </c>
      <c r="J7" s="71">
        <v>162064</v>
      </c>
      <c r="K7" s="71">
        <v>82426</v>
      </c>
      <c r="L7" s="69">
        <v>7358</v>
      </c>
      <c r="M7" s="69">
        <v>2.6</v>
      </c>
      <c r="N7" s="67">
        <v>54</v>
      </c>
      <c r="O7" s="67">
        <v>39</v>
      </c>
      <c r="P7" s="67">
        <v>1684</v>
      </c>
      <c r="Q7" s="73">
        <v>4</v>
      </c>
      <c r="R7" s="73">
        <v>11</v>
      </c>
      <c r="S7" s="73">
        <v>10</v>
      </c>
      <c r="T7" s="73">
        <v>25</v>
      </c>
      <c r="U7" s="64">
        <v>3.1230000000000002</v>
      </c>
      <c r="V7" s="64">
        <v>0.64</v>
      </c>
      <c r="W7" s="64">
        <v>0.20599999999999999</v>
      </c>
      <c r="X7" s="79">
        <v>2518</v>
      </c>
      <c r="Y7" s="64">
        <v>3.4200000000000001E-2</v>
      </c>
      <c r="Z7" s="64">
        <v>0.1386</v>
      </c>
      <c r="AA7" s="64">
        <v>5.4800000000000001E-2</v>
      </c>
      <c r="AB7" s="64">
        <v>0.1066</v>
      </c>
      <c r="AC7" s="64">
        <v>0.60599999999999998</v>
      </c>
      <c r="AD7" s="79">
        <v>6081</v>
      </c>
      <c r="AE7" s="64">
        <v>0.67800000000000005</v>
      </c>
      <c r="AF7" s="64">
        <v>9.4100000000000003E-2</v>
      </c>
      <c r="AG7" s="64">
        <v>0.39789999999999998</v>
      </c>
      <c r="AH7" s="80">
        <v>2.5129999999999999</v>
      </c>
      <c r="AI7" s="69">
        <v>17631140</v>
      </c>
      <c r="AJ7" s="69">
        <v>13610991</v>
      </c>
      <c r="AK7" s="69">
        <v>0</v>
      </c>
      <c r="AL7" s="69">
        <v>0</v>
      </c>
      <c r="AM7" s="69">
        <v>0</v>
      </c>
      <c r="AN7" s="69">
        <v>0</v>
      </c>
      <c r="AO7" s="69">
        <v>35937</v>
      </c>
      <c r="AP7" s="67" t="s">
        <v>52</v>
      </c>
      <c r="AQ7" s="69">
        <v>2022</v>
      </c>
      <c r="AR7" s="69">
        <v>1</v>
      </c>
      <c r="AS7" s="69">
        <v>0</v>
      </c>
      <c r="AT7" s="69">
        <v>0</v>
      </c>
      <c r="AU7" s="69">
        <v>0</v>
      </c>
      <c r="AV7" s="69">
        <v>0</v>
      </c>
      <c r="AW7" s="69">
        <v>0</v>
      </c>
      <c r="AX7" s="69">
        <v>0</v>
      </c>
      <c r="AY7" s="69"/>
      <c r="AZ7" s="67">
        <f t="shared" si="0"/>
        <v>1</v>
      </c>
      <c r="BA7" s="64" t="s">
        <v>206</v>
      </c>
    </row>
    <row r="8" spans="1:53" ht="14.25" customHeight="1" x14ac:dyDescent="0.3">
      <c r="A8" s="69" t="s">
        <v>67</v>
      </c>
      <c r="B8" s="69" t="s">
        <v>112</v>
      </c>
      <c r="C8" s="76">
        <v>40290</v>
      </c>
      <c r="D8" s="69">
        <v>24.9</v>
      </c>
      <c r="E8" s="71">
        <v>3978</v>
      </c>
      <c r="F8" s="71">
        <v>4918</v>
      </c>
      <c r="G8" s="71">
        <v>2363</v>
      </c>
      <c r="H8" s="71">
        <v>544</v>
      </c>
      <c r="I8" s="72">
        <v>1009435800</v>
      </c>
      <c r="J8" s="71">
        <v>44223</v>
      </c>
      <c r="K8" s="71">
        <v>24819</v>
      </c>
      <c r="L8" s="69">
        <v>16043</v>
      </c>
      <c r="M8" s="69">
        <v>2.2999999999999998</v>
      </c>
      <c r="N8" s="67">
        <v>507</v>
      </c>
      <c r="O8" s="67">
        <v>246</v>
      </c>
      <c r="P8" s="67">
        <v>10437</v>
      </c>
      <c r="Q8" s="73">
        <v>1</v>
      </c>
      <c r="R8" s="73">
        <v>4</v>
      </c>
      <c r="S8" s="73">
        <v>6</v>
      </c>
      <c r="T8" s="73">
        <v>11</v>
      </c>
      <c r="U8" s="74">
        <v>3.46</v>
      </c>
      <c r="V8" s="74">
        <v>-2.23</v>
      </c>
      <c r="W8" s="74">
        <v>0.59</v>
      </c>
      <c r="X8" s="75">
        <v>3759</v>
      </c>
      <c r="Y8" s="74">
        <v>4.3999999999999997E-2</v>
      </c>
      <c r="Z8" s="74">
        <v>0.64</v>
      </c>
      <c r="AA8" s="74">
        <v>4.2000000000000003E-2</v>
      </c>
      <c r="AB8" s="74">
        <v>8.0000000000000002E-3</v>
      </c>
      <c r="AC8" s="74">
        <v>0.65</v>
      </c>
      <c r="AD8" s="75">
        <v>2806</v>
      </c>
      <c r="AE8" s="74">
        <v>0.59</v>
      </c>
      <c r="AF8" s="74">
        <v>8.6999999999999994E-2</v>
      </c>
      <c r="AG8" s="74">
        <v>0.61</v>
      </c>
      <c r="AH8" s="74">
        <v>1.57</v>
      </c>
      <c r="AI8" s="69">
        <v>29511253</v>
      </c>
      <c r="AJ8" s="69">
        <v>28372134</v>
      </c>
      <c r="AK8" s="69">
        <v>0</v>
      </c>
      <c r="AL8" s="69">
        <v>0</v>
      </c>
      <c r="AM8" s="69">
        <v>49120000</v>
      </c>
      <c r="AN8" s="69">
        <v>0</v>
      </c>
      <c r="AO8" s="69">
        <v>71926272</v>
      </c>
      <c r="AP8" s="67" t="s">
        <v>52</v>
      </c>
      <c r="AQ8" s="69">
        <v>2024</v>
      </c>
      <c r="AR8" s="69">
        <v>1</v>
      </c>
      <c r="AS8" s="69">
        <v>0</v>
      </c>
      <c r="AT8" s="69">
        <v>0</v>
      </c>
      <c r="AU8" s="69">
        <v>1</v>
      </c>
      <c r="AV8" s="69">
        <v>0</v>
      </c>
      <c r="AW8" s="69">
        <v>0</v>
      </c>
      <c r="AX8" s="69">
        <v>0</v>
      </c>
      <c r="AY8" s="67"/>
      <c r="AZ8" s="67">
        <f t="shared" si="0"/>
        <v>2</v>
      </c>
      <c r="BA8" s="64" t="s">
        <v>205</v>
      </c>
    </row>
    <row r="9" spans="1:53" ht="14.25" customHeight="1" x14ac:dyDescent="0.3">
      <c r="A9" s="69" t="s">
        <v>69</v>
      </c>
      <c r="B9" s="69" t="s">
        <v>112</v>
      </c>
      <c r="C9" s="76">
        <v>50247</v>
      </c>
      <c r="D9" s="69">
        <v>42.6</v>
      </c>
      <c r="E9" s="71">
        <v>4605</v>
      </c>
      <c r="F9" s="71">
        <v>12363</v>
      </c>
      <c r="G9" s="71">
        <v>5828</v>
      </c>
      <c r="H9" s="71">
        <v>893</v>
      </c>
      <c r="I9" s="72">
        <v>2599576200</v>
      </c>
      <c r="J9" s="71">
        <v>97197</v>
      </c>
      <c r="K9" s="71">
        <v>53339</v>
      </c>
      <c r="L9" s="69">
        <v>20196</v>
      </c>
      <c r="M9" s="69">
        <v>2.4500000000000002</v>
      </c>
      <c r="N9" s="67">
        <v>2548</v>
      </c>
      <c r="O9" s="67">
        <v>1115</v>
      </c>
      <c r="P9" s="67">
        <v>27004</v>
      </c>
      <c r="Q9" s="73">
        <v>5</v>
      </c>
      <c r="R9" s="73">
        <v>8</v>
      </c>
      <c r="S9" s="73">
        <v>8</v>
      </c>
      <c r="T9" s="73">
        <v>21</v>
      </c>
      <c r="U9" s="74">
        <v>5.88</v>
      </c>
      <c r="V9" s="74">
        <v>-0.64</v>
      </c>
      <c r="W9" s="74">
        <v>0.81</v>
      </c>
      <c r="X9" s="75">
        <v>4228</v>
      </c>
      <c r="Y9" s="74">
        <v>1.9E-2</v>
      </c>
      <c r="Z9" s="74">
        <v>0.91</v>
      </c>
      <c r="AA9" s="74">
        <v>3.5000000000000003E-2</v>
      </c>
      <c r="AB9" s="74">
        <v>6.0000000000000001E-3</v>
      </c>
      <c r="AC9" s="74">
        <v>0.64</v>
      </c>
      <c r="AD9" s="75">
        <v>2991</v>
      </c>
      <c r="AE9" s="74">
        <v>0.64</v>
      </c>
      <c r="AF9" s="74">
        <v>7.2999999999999995E-2</v>
      </c>
      <c r="AG9" s="74">
        <v>0.56999999999999995</v>
      </c>
      <c r="AH9" s="74">
        <v>1.65</v>
      </c>
      <c r="AI9" s="69">
        <v>43549785</v>
      </c>
      <c r="AJ9" s="69">
        <v>29589609</v>
      </c>
      <c r="AK9" s="69">
        <v>80945000</v>
      </c>
      <c r="AL9" s="69">
        <v>0</v>
      </c>
      <c r="AM9" s="69">
        <v>0</v>
      </c>
      <c r="AN9" s="69">
        <v>0</v>
      </c>
      <c r="AO9" s="69">
        <v>88822293</v>
      </c>
      <c r="AP9" s="67" t="s">
        <v>52</v>
      </c>
      <c r="AQ9" s="69">
        <v>2025</v>
      </c>
      <c r="AR9" s="69">
        <v>1</v>
      </c>
      <c r="AS9" s="69">
        <v>0</v>
      </c>
      <c r="AT9" s="69">
        <v>0</v>
      </c>
      <c r="AU9" s="69">
        <v>1</v>
      </c>
      <c r="AV9" s="69">
        <v>0</v>
      </c>
      <c r="AW9" s="69">
        <v>0</v>
      </c>
      <c r="AX9" s="69">
        <v>0</v>
      </c>
      <c r="AY9" s="69"/>
      <c r="AZ9" s="67">
        <f t="shared" si="0"/>
        <v>2</v>
      </c>
      <c r="BA9" s="64" t="s">
        <v>206</v>
      </c>
    </row>
    <row r="10" spans="1:53" ht="14.25" customHeight="1" x14ac:dyDescent="0.3">
      <c r="A10" s="69" t="s">
        <v>71</v>
      </c>
      <c r="B10" s="69" t="s">
        <v>112</v>
      </c>
      <c r="C10" s="76">
        <v>8723</v>
      </c>
      <c r="D10" s="69">
        <v>44.9</v>
      </c>
      <c r="E10" s="71">
        <v>258</v>
      </c>
      <c r="F10" s="71">
        <v>2120</v>
      </c>
      <c r="G10" s="71">
        <v>1782</v>
      </c>
      <c r="H10" s="71">
        <v>165</v>
      </c>
      <c r="I10" s="72">
        <v>1079311300</v>
      </c>
      <c r="J10" s="71">
        <v>195600</v>
      </c>
      <c r="K10" s="71">
        <v>121589</v>
      </c>
      <c r="L10" s="69">
        <v>3072</v>
      </c>
      <c r="M10" s="69">
        <v>2.86</v>
      </c>
      <c r="N10" s="67">
        <v>164</v>
      </c>
      <c r="O10" s="67">
        <v>135</v>
      </c>
      <c r="P10" s="67">
        <v>3455</v>
      </c>
      <c r="Q10" s="73">
        <v>6</v>
      </c>
      <c r="R10" s="73">
        <v>12</v>
      </c>
      <c r="S10" s="73">
        <v>10</v>
      </c>
      <c r="T10" s="73">
        <v>28</v>
      </c>
      <c r="U10" s="74">
        <v>4.8600000000000003</v>
      </c>
      <c r="V10" s="74">
        <v>-7.0000000000000007E-2</v>
      </c>
      <c r="W10" s="74">
        <v>0.47</v>
      </c>
      <c r="X10" s="75">
        <v>7380</v>
      </c>
      <c r="Y10" s="74">
        <v>1.7999999999999999E-2</v>
      </c>
      <c r="Z10" s="74">
        <v>0.76</v>
      </c>
      <c r="AA10" s="74">
        <v>4.1000000000000002E-2</v>
      </c>
      <c r="AB10" s="74">
        <v>8.0000000000000002E-3</v>
      </c>
      <c r="AC10" s="74">
        <v>0.65</v>
      </c>
      <c r="AD10" s="75">
        <v>3625</v>
      </c>
      <c r="AE10" s="74">
        <v>0.48</v>
      </c>
      <c r="AF10" s="74">
        <v>0.04</v>
      </c>
      <c r="AG10" s="74">
        <v>0.47</v>
      </c>
      <c r="AH10" s="74">
        <v>2.13</v>
      </c>
      <c r="AI10" s="69">
        <v>17841593</v>
      </c>
      <c r="AJ10" s="69">
        <v>6181328</v>
      </c>
      <c r="AK10" s="69">
        <v>20710000</v>
      </c>
      <c r="AL10" s="69">
        <v>0</v>
      </c>
      <c r="AM10" s="69">
        <v>6735000</v>
      </c>
      <c r="AN10" s="69">
        <v>1482369</v>
      </c>
      <c r="AO10" s="69">
        <v>28927369</v>
      </c>
      <c r="AP10" s="67" t="s">
        <v>52</v>
      </c>
      <c r="AQ10" s="69">
        <v>2023</v>
      </c>
      <c r="AR10" s="69">
        <v>1</v>
      </c>
      <c r="AS10" s="69">
        <v>0</v>
      </c>
      <c r="AT10" s="69">
        <v>0</v>
      </c>
      <c r="AU10" s="69">
        <v>1</v>
      </c>
      <c r="AV10" s="69">
        <v>0</v>
      </c>
      <c r="AW10" s="69">
        <v>0</v>
      </c>
      <c r="AX10" s="69">
        <v>0</v>
      </c>
      <c r="AY10" s="69"/>
      <c r="AZ10" s="67">
        <f t="shared" si="0"/>
        <v>2</v>
      </c>
      <c r="BA10" s="64" t="s">
        <v>206</v>
      </c>
    </row>
    <row r="11" spans="1:53" ht="14.25" customHeight="1" x14ac:dyDescent="0.3">
      <c r="A11" s="69" t="s">
        <v>73</v>
      </c>
      <c r="B11" s="69" t="s">
        <v>112</v>
      </c>
      <c r="C11" s="76">
        <v>9007</v>
      </c>
      <c r="D11" s="69">
        <v>39.6</v>
      </c>
      <c r="E11" s="71">
        <v>386</v>
      </c>
      <c r="F11" s="71">
        <v>2115</v>
      </c>
      <c r="G11" s="71">
        <v>1454</v>
      </c>
      <c r="H11" s="71">
        <v>137</v>
      </c>
      <c r="I11" s="72">
        <v>579265600</v>
      </c>
      <c r="J11" s="71">
        <v>206875</v>
      </c>
      <c r="K11" s="71">
        <v>69631</v>
      </c>
      <c r="L11" s="69">
        <v>2936</v>
      </c>
      <c r="M11" s="69">
        <v>3.1</v>
      </c>
      <c r="N11" s="67">
        <v>119</v>
      </c>
      <c r="O11" s="67">
        <v>169</v>
      </c>
      <c r="P11" s="67">
        <v>4865</v>
      </c>
      <c r="Q11" s="73">
        <v>6</v>
      </c>
      <c r="R11" s="73">
        <v>10</v>
      </c>
      <c r="S11" s="73">
        <v>5</v>
      </c>
      <c r="T11" s="73">
        <v>21</v>
      </c>
      <c r="U11" s="74">
        <v>6.94</v>
      </c>
      <c r="V11" s="74">
        <v>0.73</v>
      </c>
      <c r="W11" s="74">
        <v>0.39</v>
      </c>
      <c r="X11" s="75">
        <v>4061</v>
      </c>
      <c r="Y11" s="74">
        <v>5.0999999999999997E-2</v>
      </c>
      <c r="Z11" s="74">
        <v>0.37</v>
      </c>
      <c r="AA11" s="74">
        <v>8.1000000000000003E-2</v>
      </c>
      <c r="AB11" s="74">
        <v>2.1999999999999999E-2</v>
      </c>
      <c r="AC11" s="74">
        <v>0.74</v>
      </c>
      <c r="AD11" s="75">
        <v>9812</v>
      </c>
      <c r="AE11" s="74">
        <v>0.64</v>
      </c>
      <c r="AF11" s="74">
        <v>0.06</v>
      </c>
      <c r="AG11" s="74">
        <v>0.53</v>
      </c>
      <c r="AH11" s="74">
        <v>1.89</v>
      </c>
      <c r="AI11" s="69">
        <v>4508368</v>
      </c>
      <c r="AJ11" s="69">
        <v>3002023</v>
      </c>
      <c r="AK11" s="69">
        <v>0</v>
      </c>
      <c r="AL11" s="69">
        <v>366000</v>
      </c>
      <c r="AM11" s="69">
        <v>0</v>
      </c>
      <c r="AN11" s="69">
        <v>0</v>
      </c>
      <c r="AO11" s="69">
        <v>5736451</v>
      </c>
      <c r="AP11" s="67" t="s">
        <v>52</v>
      </c>
      <c r="AQ11" s="69">
        <v>2020</v>
      </c>
      <c r="AR11" s="69">
        <v>1</v>
      </c>
      <c r="AS11" s="69">
        <v>0</v>
      </c>
      <c r="AT11" s="69">
        <v>0</v>
      </c>
      <c r="AU11" s="69">
        <v>0</v>
      </c>
      <c r="AV11" s="69">
        <v>0</v>
      </c>
      <c r="AW11" s="69">
        <v>0</v>
      </c>
      <c r="AX11" s="69">
        <v>0</v>
      </c>
      <c r="AY11" s="67"/>
      <c r="AZ11" s="67">
        <f t="shared" si="0"/>
        <v>1</v>
      </c>
      <c r="BA11" s="64" t="s">
        <v>206</v>
      </c>
    </row>
    <row r="12" spans="1:53" ht="14.25" customHeight="1" x14ac:dyDescent="0.3">
      <c r="A12" s="69" t="s">
        <v>75</v>
      </c>
      <c r="B12" s="69" t="s">
        <v>112</v>
      </c>
      <c r="C12" s="69">
        <v>30209</v>
      </c>
      <c r="D12" s="69">
        <v>48</v>
      </c>
      <c r="E12" s="71">
        <v>1489</v>
      </c>
      <c r="F12" s="71">
        <v>7936</v>
      </c>
      <c r="G12" s="71">
        <v>4217</v>
      </c>
      <c r="H12" s="71">
        <v>740</v>
      </c>
      <c r="I12" s="72">
        <v>2640311400</v>
      </c>
      <c r="J12" s="71">
        <v>147067</v>
      </c>
      <c r="K12" s="71">
        <v>90133</v>
      </c>
      <c r="L12" s="69">
        <v>12095</v>
      </c>
      <c r="M12" s="69">
        <v>2.4700000000000002</v>
      </c>
      <c r="N12" s="67">
        <v>1020</v>
      </c>
      <c r="O12" s="67">
        <v>524</v>
      </c>
      <c r="P12" s="67">
        <v>15300</v>
      </c>
      <c r="Q12" s="73">
        <v>4</v>
      </c>
      <c r="R12" s="73">
        <v>9</v>
      </c>
      <c r="S12" s="73">
        <v>6</v>
      </c>
      <c r="T12" s="73">
        <v>19</v>
      </c>
      <c r="U12" s="74">
        <v>18.29</v>
      </c>
      <c r="V12" s="74">
        <v>1.47</v>
      </c>
      <c r="W12" s="74">
        <v>0.19</v>
      </c>
      <c r="X12" s="75">
        <v>1985</v>
      </c>
      <c r="Y12" s="74">
        <v>1.09E-2</v>
      </c>
      <c r="Z12" s="74">
        <v>0.42</v>
      </c>
      <c r="AA12" s="74">
        <v>3.9E-2</v>
      </c>
      <c r="AB12" s="74">
        <v>1.4E-2</v>
      </c>
      <c r="AC12" s="74">
        <v>0.62</v>
      </c>
      <c r="AD12" s="75">
        <v>6528</v>
      </c>
      <c r="AE12" s="74">
        <v>0.44</v>
      </c>
      <c r="AF12" s="74">
        <v>7.3999999999999996E-2</v>
      </c>
      <c r="AG12" s="74">
        <v>0.54500000000000004</v>
      </c>
      <c r="AH12" s="74">
        <v>1.83</v>
      </c>
      <c r="AI12" s="69">
        <v>38768816</v>
      </c>
      <c r="AJ12" s="69">
        <v>23943691</v>
      </c>
      <c r="AK12" s="69">
        <v>55993795</v>
      </c>
      <c r="AL12" s="69">
        <v>0</v>
      </c>
      <c r="AM12" s="69">
        <v>0</v>
      </c>
      <c r="AN12" s="69">
        <v>0</v>
      </c>
      <c r="AO12" s="69">
        <v>55993795</v>
      </c>
      <c r="AP12" s="67" t="s">
        <v>59</v>
      </c>
      <c r="AQ12" s="69">
        <v>2023</v>
      </c>
      <c r="AR12" s="69">
        <v>1</v>
      </c>
      <c r="AS12" s="69">
        <v>0</v>
      </c>
      <c r="AT12" s="69" t="s">
        <v>211</v>
      </c>
      <c r="AU12" s="69">
        <v>1</v>
      </c>
      <c r="AV12" s="69">
        <v>0</v>
      </c>
      <c r="AW12" s="69">
        <v>0</v>
      </c>
      <c r="AX12" s="69">
        <v>0</v>
      </c>
      <c r="AY12" s="80"/>
      <c r="AZ12" s="67">
        <f t="shared" si="0"/>
        <v>2</v>
      </c>
      <c r="BA12" s="64" t="s">
        <v>206</v>
      </c>
    </row>
    <row r="13" spans="1:53" ht="14.25" customHeight="1" x14ac:dyDescent="0.3">
      <c r="A13" s="69" t="s">
        <v>77</v>
      </c>
      <c r="B13" s="69" t="s">
        <v>112</v>
      </c>
      <c r="C13" s="69">
        <v>5919</v>
      </c>
      <c r="D13" s="69">
        <v>45.3</v>
      </c>
      <c r="E13" s="71">
        <v>245</v>
      </c>
      <c r="F13" s="71">
        <v>1488</v>
      </c>
      <c r="G13" s="71">
        <v>854</v>
      </c>
      <c r="H13" s="71">
        <v>176</v>
      </c>
      <c r="I13" s="72">
        <v>482334200</v>
      </c>
      <c r="J13" s="71">
        <v>174444</v>
      </c>
      <c r="K13" s="71">
        <v>87123</v>
      </c>
      <c r="L13" s="69">
        <v>2206</v>
      </c>
      <c r="M13" s="69">
        <v>2.68</v>
      </c>
      <c r="N13" s="67">
        <v>116</v>
      </c>
      <c r="O13" s="67">
        <v>65</v>
      </c>
      <c r="P13" s="67">
        <v>2880</v>
      </c>
      <c r="Q13" s="73">
        <v>5</v>
      </c>
      <c r="R13" s="73">
        <v>9</v>
      </c>
      <c r="S13" s="73">
        <v>7</v>
      </c>
      <c r="T13" s="73">
        <v>21</v>
      </c>
      <c r="U13" s="74">
        <v>4.33</v>
      </c>
      <c r="V13" s="74">
        <v>0.18</v>
      </c>
      <c r="W13" s="74">
        <v>0.27</v>
      </c>
      <c r="X13" s="75">
        <v>2836</v>
      </c>
      <c r="Y13" s="74">
        <v>0</v>
      </c>
      <c r="Z13" s="74">
        <v>0.28999999999999998</v>
      </c>
      <c r="AA13" s="74">
        <v>0.01</v>
      </c>
      <c r="AB13" s="74">
        <v>0.01</v>
      </c>
      <c r="AC13" s="74">
        <v>0.54</v>
      </c>
      <c r="AD13" s="75">
        <v>5709</v>
      </c>
      <c r="AE13" s="74">
        <v>0.82</v>
      </c>
      <c r="AF13" s="74">
        <v>0.05</v>
      </c>
      <c r="AG13" s="74">
        <v>0.31</v>
      </c>
      <c r="AH13" s="74">
        <v>3.27</v>
      </c>
      <c r="AI13" s="69">
        <v>7161725</v>
      </c>
      <c r="AJ13" s="69">
        <v>5537061</v>
      </c>
      <c r="AK13" s="69">
        <v>0</v>
      </c>
      <c r="AL13" s="69">
        <v>0</v>
      </c>
      <c r="AM13" s="69">
        <v>1928000</v>
      </c>
      <c r="AN13" s="69">
        <v>569279</v>
      </c>
      <c r="AO13" s="69">
        <v>17759613</v>
      </c>
      <c r="AP13" s="67" t="s">
        <v>52</v>
      </c>
      <c r="AQ13" s="69">
        <v>2022</v>
      </c>
      <c r="AR13" s="69">
        <v>1</v>
      </c>
      <c r="AS13" s="69">
        <v>0</v>
      </c>
      <c r="AT13" s="69">
        <v>0</v>
      </c>
      <c r="AU13" s="69">
        <v>0</v>
      </c>
      <c r="AV13" s="69">
        <v>0</v>
      </c>
      <c r="AW13" s="69">
        <v>0</v>
      </c>
      <c r="AX13" s="69">
        <v>0</v>
      </c>
      <c r="AY13" s="69"/>
      <c r="AZ13" s="67">
        <f t="shared" si="0"/>
        <v>1</v>
      </c>
      <c r="BA13" s="64" t="s">
        <v>206</v>
      </c>
    </row>
    <row r="14" spans="1:53" ht="14.25" customHeight="1" x14ac:dyDescent="0.3">
      <c r="A14" s="69" t="s">
        <v>79</v>
      </c>
      <c r="B14" s="69" t="s">
        <v>112</v>
      </c>
      <c r="C14" s="81">
        <v>20579</v>
      </c>
      <c r="D14" s="67">
        <v>42.4</v>
      </c>
      <c r="E14" s="71">
        <v>1086</v>
      </c>
      <c r="F14" s="71">
        <v>5280</v>
      </c>
      <c r="G14" s="71">
        <v>3259</v>
      </c>
      <c r="H14" s="71">
        <v>528</v>
      </c>
      <c r="I14" s="72">
        <v>1450548700</v>
      </c>
      <c r="J14" s="71">
        <v>150580</v>
      </c>
      <c r="K14" s="71">
        <v>72487</v>
      </c>
      <c r="L14" s="67">
        <v>7608</v>
      </c>
      <c r="M14" s="67">
        <v>2.64</v>
      </c>
      <c r="N14" s="67">
        <v>634</v>
      </c>
      <c r="O14" s="67">
        <v>334</v>
      </c>
      <c r="P14" s="67">
        <v>10315</v>
      </c>
      <c r="Q14" s="73">
        <v>4</v>
      </c>
      <c r="R14" s="73">
        <v>4</v>
      </c>
      <c r="S14" s="73">
        <v>5</v>
      </c>
      <c r="T14" s="73">
        <v>13</v>
      </c>
      <c r="U14" s="67">
        <v>4.12</v>
      </c>
      <c r="V14" s="67">
        <v>-0.28000000000000003</v>
      </c>
      <c r="W14" s="71">
        <v>0.13200000000000001</v>
      </c>
      <c r="X14" s="82">
        <v>1690</v>
      </c>
      <c r="Y14" s="67">
        <v>1.2699999999999999E-2</v>
      </c>
      <c r="Z14" s="67">
        <v>0.38700000000000001</v>
      </c>
      <c r="AA14" s="71">
        <v>0.03</v>
      </c>
      <c r="AB14" s="67">
        <v>7.6999999999999999E-2</v>
      </c>
      <c r="AC14" s="71">
        <v>0.76</v>
      </c>
      <c r="AD14" s="83">
        <v>4852</v>
      </c>
      <c r="AE14" s="67">
        <v>1.069</v>
      </c>
      <c r="AF14" s="71">
        <v>1.9E-2</v>
      </c>
      <c r="AG14" s="71">
        <v>0.35</v>
      </c>
      <c r="AH14" s="71">
        <v>2.75</v>
      </c>
      <c r="AI14" s="14">
        <v>12428186</v>
      </c>
      <c r="AJ14" s="14">
        <v>22469414</v>
      </c>
      <c r="AK14" s="14">
        <v>23025000</v>
      </c>
      <c r="AL14" s="69">
        <v>0</v>
      </c>
      <c r="AM14" s="14">
        <v>24780000</v>
      </c>
      <c r="AN14" s="69">
        <v>0</v>
      </c>
      <c r="AO14" s="14">
        <v>47805000</v>
      </c>
      <c r="AP14" s="67" t="s">
        <v>52</v>
      </c>
      <c r="AQ14" s="69">
        <v>2022</v>
      </c>
      <c r="AR14" s="69">
        <v>1</v>
      </c>
      <c r="AS14" s="69">
        <v>0</v>
      </c>
      <c r="AT14" s="69">
        <v>0</v>
      </c>
      <c r="AU14" s="69">
        <v>0</v>
      </c>
      <c r="AV14" s="69">
        <v>0</v>
      </c>
      <c r="AW14" s="69">
        <v>0</v>
      </c>
      <c r="AX14" s="69">
        <v>0</v>
      </c>
      <c r="AY14" s="69"/>
      <c r="AZ14" s="67">
        <f t="shared" si="0"/>
        <v>1</v>
      </c>
      <c r="BA14" s="64" t="s">
        <v>206</v>
      </c>
    </row>
    <row r="15" spans="1:53" ht="14.25" customHeight="1" x14ac:dyDescent="0.3">
      <c r="A15" s="69" t="s">
        <v>81</v>
      </c>
      <c r="B15" s="69" t="s">
        <v>112</v>
      </c>
      <c r="C15" s="74">
        <v>13463</v>
      </c>
      <c r="D15" s="69">
        <v>44.3</v>
      </c>
      <c r="E15" s="71">
        <v>1193</v>
      </c>
      <c r="F15" s="71">
        <v>3315</v>
      </c>
      <c r="G15" s="71">
        <v>899</v>
      </c>
      <c r="H15" s="71">
        <v>219</v>
      </c>
      <c r="I15" s="72">
        <v>534449900</v>
      </c>
      <c r="J15" s="71">
        <v>90422</v>
      </c>
      <c r="K15" s="71">
        <v>44380</v>
      </c>
      <c r="L15" s="69">
        <v>4669</v>
      </c>
      <c r="M15" s="69">
        <v>2.82</v>
      </c>
      <c r="N15" s="67">
        <v>709</v>
      </c>
      <c r="O15" s="67">
        <v>425</v>
      </c>
      <c r="P15" s="67">
        <v>5687</v>
      </c>
      <c r="Q15" s="73">
        <v>2</v>
      </c>
      <c r="R15" s="73">
        <v>3</v>
      </c>
      <c r="S15" s="73">
        <v>7</v>
      </c>
      <c r="T15" s="73">
        <v>12</v>
      </c>
      <c r="U15" s="74">
        <v>5.25</v>
      </c>
      <c r="V15" s="74">
        <v>0.08</v>
      </c>
      <c r="W15" s="74">
        <v>0.7</v>
      </c>
      <c r="X15" s="75">
        <v>5426</v>
      </c>
      <c r="Y15" s="74">
        <v>0.05</v>
      </c>
      <c r="Z15" s="74">
        <v>0.36</v>
      </c>
      <c r="AA15" s="74">
        <v>7.0000000000000007E-2</v>
      </c>
      <c r="AB15" s="74">
        <v>0.01</v>
      </c>
      <c r="AC15" s="74">
        <v>0.54</v>
      </c>
      <c r="AD15" s="75">
        <v>4237</v>
      </c>
      <c r="AE15" s="74">
        <v>0.72</v>
      </c>
      <c r="AF15" s="74">
        <v>0.42</v>
      </c>
      <c r="AG15" s="74">
        <v>0.73</v>
      </c>
      <c r="AH15" s="74">
        <v>1.32</v>
      </c>
      <c r="AI15" s="69">
        <v>15206846</v>
      </c>
      <c r="AJ15" s="69">
        <v>10900189</v>
      </c>
      <c r="AK15" s="69">
        <v>25480000</v>
      </c>
      <c r="AL15" s="69">
        <v>0</v>
      </c>
      <c r="AM15" s="69">
        <v>0</v>
      </c>
      <c r="AN15" s="69">
        <v>76898</v>
      </c>
      <c r="AO15" s="69">
        <v>85137974</v>
      </c>
      <c r="AP15" s="67" t="s">
        <v>52</v>
      </c>
      <c r="AQ15" s="69">
        <v>2023</v>
      </c>
      <c r="AR15" s="69">
        <v>1</v>
      </c>
      <c r="AS15" s="69">
        <v>0</v>
      </c>
      <c r="AT15" s="69">
        <v>0</v>
      </c>
      <c r="AU15" s="69">
        <v>0</v>
      </c>
      <c r="AV15" s="69">
        <v>0</v>
      </c>
      <c r="AW15" s="69">
        <v>0</v>
      </c>
      <c r="AX15" s="69">
        <v>0</v>
      </c>
      <c r="AY15" s="69"/>
      <c r="AZ15" s="67">
        <f t="shared" si="0"/>
        <v>1</v>
      </c>
      <c r="BA15" s="64" t="s">
        <v>206</v>
      </c>
    </row>
    <row r="16" spans="1:53" ht="14.25" customHeight="1" x14ac:dyDescent="0.3">
      <c r="A16" s="69" t="s">
        <v>83</v>
      </c>
      <c r="B16" s="69" t="s">
        <v>112</v>
      </c>
      <c r="C16" s="76">
        <v>25297</v>
      </c>
      <c r="D16" s="69">
        <v>44.6</v>
      </c>
      <c r="E16" s="71">
        <v>3140</v>
      </c>
      <c r="F16" s="71">
        <v>5064</v>
      </c>
      <c r="G16" s="71">
        <v>2425</v>
      </c>
      <c r="H16" s="71">
        <v>301</v>
      </c>
      <c r="I16" s="72">
        <v>925589400</v>
      </c>
      <c r="J16" s="71">
        <v>87063</v>
      </c>
      <c r="K16" s="71">
        <v>40923</v>
      </c>
      <c r="L16" s="69">
        <v>9166</v>
      </c>
      <c r="M16" s="69">
        <v>2.7</v>
      </c>
      <c r="N16" s="67">
        <v>1747</v>
      </c>
      <c r="O16" s="67">
        <v>474</v>
      </c>
      <c r="P16" s="67">
        <v>12635</v>
      </c>
      <c r="Q16" s="73">
        <v>4</v>
      </c>
      <c r="R16" s="73">
        <v>4</v>
      </c>
      <c r="S16" s="73">
        <v>7</v>
      </c>
      <c r="T16" s="73">
        <v>15</v>
      </c>
      <c r="U16" s="74">
        <v>9.5500000000000007</v>
      </c>
      <c r="V16" s="74">
        <v>-0.68</v>
      </c>
      <c r="W16" s="74">
        <v>0.9</v>
      </c>
      <c r="X16" s="75">
        <v>1017</v>
      </c>
      <c r="Y16" s="74">
        <v>3.9E-2</v>
      </c>
      <c r="Z16" s="74">
        <v>0.49</v>
      </c>
      <c r="AA16" s="74">
        <v>0.06</v>
      </c>
      <c r="AB16" s="74">
        <v>0.01</v>
      </c>
      <c r="AC16" s="74">
        <v>0.56000000000000005</v>
      </c>
      <c r="AD16" s="75">
        <v>2400</v>
      </c>
      <c r="AE16" s="74">
        <v>0.96</v>
      </c>
      <c r="AF16" s="74">
        <v>0.37</v>
      </c>
      <c r="AG16" s="74">
        <v>0.92</v>
      </c>
      <c r="AH16" s="74">
        <v>1.04</v>
      </c>
      <c r="AI16" s="69">
        <v>27828587</v>
      </c>
      <c r="AJ16" s="69">
        <v>12723733</v>
      </c>
      <c r="AK16" s="69">
        <v>4440000</v>
      </c>
      <c r="AL16" s="69">
        <v>0</v>
      </c>
      <c r="AM16" s="69">
        <v>0</v>
      </c>
      <c r="AN16" s="69">
        <v>0</v>
      </c>
      <c r="AO16" s="69">
        <v>4440000</v>
      </c>
      <c r="AP16" s="67" t="s">
        <v>52</v>
      </c>
      <c r="AQ16" s="69">
        <v>2021</v>
      </c>
      <c r="AR16" s="69">
        <v>1</v>
      </c>
      <c r="AS16" s="69">
        <v>0</v>
      </c>
      <c r="AT16" s="69">
        <v>0</v>
      </c>
      <c r="AU16" s="69">
        <v>0</v>
      </c>
      <c r="AV16" s="69">
        <v>0</v>
      </c>
      <c r="AW16" s="69">
        <v>0</v>
      </c>
      <c r="AX16" s="69">
        <v>0</v>
      </c>
      <c r="AY16" s="69"/>
      <c r="AZ16" s="67">
        <f t="shared" si="0"/>
        <v>1</v>
      </c>
      <c r="BA16" s="64" t="s">
        <v>206</v>
      </c>
    </row>
    <row r="17" spans="1:53" ht="14.25" customHeight="1" x14ac:dyDescent="0.3">
      <c r="A17" s="69" t="s">
        <v>85</v>
      </c>
      <c r="B17" s="69" t="s">
        <v>112</v>
      </c>
      <c r="C17" s="76">
        <v>56852</v>
      </c>
      <c r="D17" s="69">
        <v>41.2</v>
      </c>
      <c r="E17" s="71">
        <v>8097</v>
      </c>
      <c r="F17" s="71">
        <v>11497</v>
      </c>
      <c r="G17" s="71">
        <v>4343</v>
      </c>
      <c r="H17" s="71">
        <v>516</v>
      </c>
      <c r="I17" s="72">
        <v>2153938100</v>
      </c>
      <c r="J17" s="71">
        <v>84353</v>
      </c>
      <c r="K17" s="71">
        <v>40452</v>
      </c>
      <c r="L17" s="69">
        <v>21917</v>
      </c>
      <c r="M17" s="69">
        <v>2.56</v>
      </c>
      <c r="N17" s="67">
        <v>2770</v>
      </c>
      <c r="O17" s="67">
        <v>1071</v>
      </c>
      <c r="P17" s="67">
        <v>30562</v>
      </c>
      <c r="Q17" s="73">
        <v>2</v>
      </c>
      <c r="R17" s="73">
        <v>0</v>
      </c>
      <c r="S17" s="73">
        <v>4</v>
      </c>
      <c r="T17" s="73">
        <v>6</v>
      </c>
      <c r="U17" s="74">
        <v>10.31</v>
      </c>
      <c r="V17" s="74">
        <v>-3.62</v>
      </c>
      <c r="W17" s="74">
        <v>0.82</v>
      </c>
      <c r="X17" s="75">
        <v>4140</v>
      </c>
      <c r="Y17" s="74">
        <v>5.2999999999999999E-2</v>
      </c>
      <c r="Z17" s="74">
        <v>0.49</v>
      </c>
      <c r="AA17" s="74">
        <v>7.0000000000000007E-2</v>
      </c>
      <c r="AB17" s="74">
        <v>0.01</v>
      </c>
      <c r="AC17" s="74">
        <v>0.46</v>
      </c>
      <c r="AD17" s="75">
        <v>2310</v>
      </c>
      <c r="AE17" s="74">
        <v>0.21</v>
      </c>
      <c r="AF17" s="74">
        <v>0.18</v>
      </c>
      <c r="AG17" s="74">
        <v>0.87</v>
      </c>
      <c r="AH17" s="74">
        <v>1.1499999999999999</v>
      </c>
      <c r="AI17" s="69">
        <v>35405639</v>
      </c>
      <c r="AJ17" s="69">
        <v>56884248</v>
      </c>
      <c r="AK17" s="69">
        <v>96755000</v>
      </c>
      <c r="AL17" s="69">
        <v>0</v>
      </c>
      <c r="AM17" s="69">
        <v>0</v>
      </c>
      <c r="AN17" s="69">
        <v>38290593</v>
      </c>
      <c r="AO17" s="69">
        <v>277208569</v>
      </c>
      <c r="AP17" s="67" t="s">
        <v>52</v>
      </c>
      <c r="AQ17" s="69">
        <v>2023</v>
      </c>
      <c r="AR17" s="69">
        <v>1</v>
      </c>
      <c r="AS17" s="69">
        <v>0</v>
      </c>
      <c r="AT17" s="69">
        <v>0</v>
      </c>
      <c r="AU17" s="69">
        <v>0</v>
      </c>
      <c r="AV17" s="69">
        <v>0</v>
      </c>
      <c r="AW17" s="69">
        <v>0</v>
      </c>
      <c r="AX17" s="69">
        <v>0</v>
      </c>
      <c r="AY17" s="69"/>
      <c r="AZ17" s="67">
        <f t="shared" si="0"/>
        <v>1</v>
      </c>
      <c r="BA17" s="64" t="s">
        <v>206</v>
      </c>
    </row>
    <row r="18" spans="1:53" ht="13.5" customHeight="1" x14ac:dyDescent="0.3">
      <c r="A18" s="69" t="s">
        <v>87</v>
      </c>
      <c r="B18" s="69" t="s">
        <v>112</v>
      </c>
      <c r="C18" s="76">
        <v>150245</v>
      </c>
      <c r="D18" s="69">
        <v>39.5</v>
      </c>
      <c r="E18" s="71">
        <v>8236</v>
      </c>
      <c r="F18" s="71">
        <v>39440</v>
      </c>
      <c r="G18" s="71">
        <v>22464</v>
      </c>
      <c r="H18" s="71">
        <v>3212</v>
      </c>
      <c r="I18" s="72">
        <v>8472962400</v>
      </c>
      <c r="J18" s="71">
        <v>127648</v>
      </c>
      <c r="K18" s="71">
        <v>58075</v>
      </c>
      <c r="L18" s="69">
        <v>53815</v>
      </c>
      <c r="M18" s="69">
        <v>2.73</v>
      </c>
      <c r="N18" s="67">
        <v>6347</v>
      </c>
      <c r="O18" s="67">
        <v>3635</v>
      </c>
      <c r="P18" s="67">
        <v>80271</v>
      </c>
      <c r="Q18" s="73">
        <v>6</v>
      </c>
      <c r="R18" s="73">
        <v>13</v>
      </c>
      <c r="S18" s="73">
        <v>18</v>
      </c>
      <c r="T18" s="73">
        <v>37</v>
      </c>
      <c r="U18" s="80">
        <v>2.8730000000000002</v>
      </c>
      <c r="V18" s="80">
        <v>6.4000000000000001E-2</v>
      </c>
      <c r="W18" s="64">
        <v>5.8999999999999997E-2</v>
      </c>
      <c r="X18" s="79">
        <v>514</v>
      </c>
      <c r="Y18" s="80">
        <v>4.1999999999999997E-3</v>
      </c>
      <c r="Z18" s="64">
        <v>0.45</v>
      </c>
      <c r="AA18" s="80">
        <v>1.8700000000000001E-2</v>
      </c>
      <c r="AB18" s="64">
        <v>1.46E-2</v>
      </c>
      <c r="AC18" s="80">
        <v>0.73599999999999999</v>
      </c>
      <c r="AD18" s="79">
        <v>4546</v>
      </c>
      <c r="AE18" s="64">
        <v>0.92800000000000005</v>
      </c>
      <c r="AF18" s="80">
        <v>0.04</v>
      </c>
      <c r="AG18" s="64">
        <v>0.27600000000000002</v>
      </c>
      <c r="AH18" s="64">
        <v>3.6219999999999999</v>
      </c>
      <c r="AI18" s="69">
        <v>89545808</v>
      </c>
      <c r="AJ18" s="69">
        <v>119519389</v>
      </c>
      <c r="AK18" s="69">
        <v>82495000</v>
      </c>
      <c r="AL18" s="69">
        <v>0</v>
      </c>
      <c r="AM18" s="69">
        <v>0</v>
      </c>
      <c r="AN18" s="69">
        <v>0</v>
      </c>
      <c r="AO18" s="69">
        <v>82495000</v>
      </c>
      <c r="AP18" s="67" t="s">
        <v>52</v>
      </c>
      <c r="AQ18" s="69">
        <v>2021</v>
      </c>
      <c r="AR18" s="69">
        <v>1</v>
      </c>
      <c r="AS18" s="69">
        <v>0</v>
      </c>
      <c r="AT18" s="69">
        <v>1</v>
      </c>
      <c r="AU18" s="69">
        <v>0</v>
      </c>
      <c r="AV18" s="69">
        <v>0</v>
      </c>
      <c r="AW18" s="69">
        <v>0</v>
      </c>
      <c r="AX18" s="69">
        <v>0</v>
      </c>
      <c r="AY18" s="69"/>
      <c r="AZ18" s="67">
        <f t="shared" si="0"/>
        <v>2</v>
      </c>
      <c r="BA18" s="64" t="s">
        <v>205</v>
      </c>
    </row>
    <row r="19" spans="1:53" ht="13.5" customHeight="1" x14ac:dyDescent="0.3">
      <c r="A19" s="69" t="s">
        <v>89</v>
      </c>
      <c r="B19" s="69" t="s">
        <v>112</v>
      </c>
      <c r="C19" s="81">
        <v>54583</v>
      </c>
      <c r="D19" s="67">
        <v>40.299999999999997</v>
      </c>
      <c r="E19" s="71">
        <v>2912</v>
      </c>
      <c r="F19" s="71">
        <v>11743</v>
      </c>
      <c r="G19" s="71">
        <v>9143</v>
      </c>
      <c r="H19" s="71">
        <v>1876</v>
      </c>
      <c r="I19" s="72">
        <v>2983634700</v>
      </c>
      <c r="J19" s="71">
        <v>96945</v>
      </c>
      <c r="K19" s="71">
        <v>58262</v>
      </c>
      <c r="L19" s="67">
        <v>23345</v>
      </c>
      <c r="M19" s="67">
        <v>2.29</v>
      </c>
      <c r="N19" s="67">
        <v>3683</v>
      </c>
      <c r="O19" s="67">
        <v>1477</v>
      </c>
      <c r="P19" s="67">
        <v>29937</v>
      </c>
      <c r="Q19" s="73">
        <v>6</v>
      </c>
      <c r="R19" s="73">
        <v>8</v>
      </c>
      <c r="S19" s="73">
        <v>6</v>
      </c>
      <c r="T19" s="73">
        <v>20</v>
      </c>
      <c r="U19" s="64">
        <v>2.2930000000000001</v>
      </c>
      <c r="V19" s="64">
        <v>-0.749</v>
      </c>
      <c r="W19" s="64">
        <v>0.192</v>
      </c>
      <c r="X19" s="79">
        <v>1517</v>
      </c>
      <c r="Y19" s="71">
        <v>2.7E-2</v>
      </c>
      <c r="Z19" s="80">
        <v>0.46899999999999997</v>
      </c>
      <c r="AA19" s="80">
        <v>2.4500000000000001E-2</v>
      </c>
      <c r="AB19" s="80">
        <v>7.5200000000000003E-2</v>
      </c>
      <c r="AC19" s="71">
        <v>0.56999999999999995</v>
      </c>
      <c r="AD19" s="79">
        <v>3779</v>
      </c>
      <c r="AE19" s="64">
        <v>1.6779999999999999</v>
      </c>
      <c r="AF19" s="80">
        <v>0.129</v>
      </c>
      <c r="AG19" s="71">
        <v>0.71</v>
      </c>
      <c r="AH19" s="71">
        <v>1.4</v>
      </c>
      <c r="AI19" s="14">
        <v>51158114</v>
      </c>
      <c r="AJ19" s="14">
        <v>34689925</v>
      </c>
      <c r="AK19" s="14">
        <v>81870000</v>
      </c>
      <c r="AL19" s="14">
        <v>0</v>
      </c>
      <c r="AM19" s="14">
        <v>0</v>
      </c>
      <c r="AN19" s="14">
        <v>0</v>
      </c>
      <c r="AO19" s="14">
        <v>265014270</v>
      </c>
      <c r="AP19" s="67" t="s">
        <v>52</v>
      </c>
      <c r="AQ19" s="69">
        <v>2024</v>
      </c>
      <c r="AR19" s="69">
        <v>1</v>
      </c>
      <c r="AS19" s="69">
        <v>1</v>
      </c>
      <c r="AT19" s="69">
        <v>1</v>
      </c>
      <c r="AU19" s="69">
        <v>1</v>
      </c>
      <c r="AV19" s="69">
        <v>0</v>
      </c>
      <c r="AW19" s="69">
        <v>0</v>
      </c>
      <c r="AX19" s="69">
        <v>0</v>
      </c>
      <c r="AY19" s="69"/>
      <c r="AZ19" s="67">
        <f t="shared" si="0"/>
        <v>4</v>
      </c>
      <c r="BA19" s="64" t="s">
        <v>205</v>
      </c>
    </row>
    <row r="20" spans="1:53" ht="14.25" customHeight="1" x14ac:dyDescent="0.3">
      <c r="A20" s="69" t="s">
        <v>91</v>
      </c>
      <c r="B20" s="69" t="s">
        <v>112</v>
      </c>
      <c r="C20" s="69">
        <v>39368</v>
      </c>
      <c r="D20" s="69">
        <v>45.1</v>
      </c>
      <c r="E20" s="71">
        <v>3040</v>
      </c>
      <c r="F20" s="71">
        <v>9683</v>
      </c>
      <c r="G20" s="71">
        <v>4770</v>
      </c>
      <c r="H20" s="71">
        <v>499</v>
      </c>
      <c r="I20" s="72">
        <v>2176104400</v>
      </c>
      <c r="J20" s="71">
        <v>113809</v>
      </c>
      <c r="K20" s="71">
        <v>58978</v>
      </c>
      <c r="L20" s="69">
        <v>15234</v>
      </c>
      <c r="M20" s="69">
        <v>2.5499999999999998</v>
      </c>
      <c r="N20" s="67">
        <v>1683</v>
      </c>
      <c r="O20" s="67">
        <v>707</v>
      </c>
      <c r="P20" s="67">
        <v>20429</v>
      </c>
      <c r="Q20" s="73">
        <v>2</v>
      </c>
      <c r="R20" s="73">
        <v>8</v>
      </c>
      <c r="S20" s="73">
        <v>7</v>
      </c>
      <c r="T20" s="73">
        <v>17</v>
      </c>
      <c r="U20" s="74">
        <v>5.83</v>
      </c>
      <c r="V20" s="74">
        <v>-0.16</v>
      </c>
      <c r="W20" s="74">
        <v>0.26</v>
      </c>
      <c r="X20" s="75">
        <v>1458</v>
      </c>
      <c r="Y20" s="74">
        <v>8.9999999999999998E-4</v>
      </c>
      <c r="Z20" s="74">
        <v>0.33</v>
      </c>
      <c r="AA20" s="74">
        <v>0.08</v>
      </c>
      <c r="AB20" s="74">
        <v>0.02</v>
      </c>
      <c r="AC20" s="74">
        <v>0.62</v>
      </c>
      <c r="AD20" s="75">
        <v>3480</v>
      </c>
      <c r="AE20" s="74">
        <v>0.93</v>
      </c>
      <c r="AF20" s="74">
        <v>0.13</v>
      </c>
      <c r="AG20" s="74">
        <v>0.3</v>
      </c>
      <c r="AH20" s="74">
        <v>3.31</v>
      </c>
      <c r="AI20" s="69">
        <v>35537650</v>
      </c>
      <c r="AJ20" s="69">
        <v>15720015</v>
      </c>
      <c r="AK20" s="69">
        <v>6575000</v>
      </c>
      <c r="AL20" s="69">
        <v>0</v>
      </c>
      <c r="AM20" s="69">
        <v>0</v>
      </c>
      <c r="AN20" s="69">
        <v>0</v>
      </c>
      <c r="AO20" s="69">
        <v>6581212</v>
      </c>
      <c r="AP20" s="67" t="s">
        <v>52</v>
      </c>
      <c r="AQ20" s="69">
        <v>2020</v>
      </c>
      <c r="AR20" s="69">
        <v>1</v>
      </c>
      <c r="AS20" s="69">
        <v>0</v>
      </c>
      <c r="AT20" s="69">
        <v>0</v>
      </c>
      <c r="AU20" s="69">
        <v>0</v>
      </c>
      <c r="AV20" s="69">
        <v>0</v>
      </c>
      <c r="AW20" s="69">
        <v>0</v>
      </c>
      <c r="AX20" s="69">
        <v>0</v>
      </c>
      <c r="AY20" s="84"/>
      <c r="AZ20" s="67">
        <f t="shared" si="0"/>
        <v>1</v>
      </c>
      <c r="BA20" s="64" t="s">
        <v>206</v>
      </c>
    </row>
    <row r="21" spans="1:53" ht="14.25" customHeight="1" x14ac:dyDescent="0.3">
      <c r="A21" s="69" t="s">
        <v>93</v>
      </c>
      <c r="B21" s="69" t="s">
        <v>112</v>
      </c>
      <c r="C21" s="76">
        <v>9298</v>
      </c>
      <c r="D21" s="69">
        <v>39.700000000000003</v>
      </c>
      <c r="E21" s="71">
        <v>726</v>
      </c>
      <c r="F21" s="71">
        <v>1777</v>
      </c>
      <c r="G21" s="71">
        <v>1151</v>
      </c>
      <c r="H21" s="71">
        <v>268</v>
      </c>
      <c r="I21" s="72">
        <v>480238600</v>
      </c>
      <c r="J21" s="71">
        <v>120336</v>
      </c>
      <c r="K21" s="71">
        <v>55882</v>
      </c>
      <c r="L21" s="69">
        <v>2938</v>
      </c>
      <c r="M21" s="69">
        <v>2.4500000000000002</v>
      </c>
      <c r="N21" s="67">
        <v>296</v>
      </c>
      <c r="O21" s="67">
        <v>143</v>
      </c>
      <c r="P21" s="67">
        <v>4647</v>
      </c>
      <c r="Q21" s="73">
        <v>6</v>
      </c>
      <c r="R21" s="73">
        <v>15</v>
      </c>
      <c r="S21" s="73">
        <v>12</v>
      </c>
      <c r="T21" s="73">
        <v>33</v>
      </c>
      <c r="U21" s="74">
        <v>11.56</v>
      </c>
      <c r="V21" s="74">
        <v>-7.66</v>
      </c>
      <c r="W21" s="74">
        <v>0.6</v>
      </c>
      <c r="X21" s="75">
        <v>2600</v>
      </c>
      <c r="Y21" s="74">
        <v>3.8E-3</v>
      </c>
      <c r="Z21" s="74">
        <v>0.77</v>
      </c>
      <c r="AA21" s="74">
        <v>0.08</v>
      </c>
      <c r="AB21" s="74">
        <v>0.02</v>
      </c>
      <c r="AC21" s="74">
        <v>0.55000000000000004</v>
      </c>
      <c r="AD21" s="75">
        <v>2361</v>
      </c>
      <c r="AE21" s="74">
        <v>0.49</v>
      </c>
      <c r="AF21" s="74">
        <v>0.11</v>
      </c>
      <c r="AG21" s="74">
        <v>0.64</v>
      </c>
      <c r="AH21" s="74">
        <v>1.55</v>
      </c>
      <c r="AI21" s="69">
        <v>9289183</v>
      </c>
      <c r="AJ21" s="69">
        <v>3506649</v>
      </c>
      <c r="AK21" s="69">
        <v>2400000</v>
      </c>
      <c r="AL21" s="69">
        <v>0</v>
      </c>
      <c r="AM21" s="69">
        <v>0</v>
      </c>
      <c r="AN21" s="69">
        <v>600034</v>
      </c>
      <c r="AO21" s="69">
        <v>3000034</v>
      </c>
      <c r="AP21" s="67" t="s">
        <v>59</v>
      </c>
      <c r="AQ21" s="69">
        <v>2025</v>
      </c>
      <c r="AR21" s="69">
        <v>1</v>
      </c>
      <c r="AS21" s="69">
        <v>1</v>
      </c>
      <c r="AT21" s="69">
        <v>1</v>
      </c>
      <c r="AU21" s="69">
        <v>0</v>
      </c>
      <c r="AV21" s="69">
        <v>0</v>
      </c>
      <c r="AW21" s="69">
        <v>0</v>
      </c>
      <c r="AX21" s="69">
        <v>0</v>
      </c>
      <c r="AY21" s="69"/>
      <c r="AZ21" s="67">
        <f t="shared" si="0"/>
        <v>3</v>
      </c>
      <c r="BA21" s="64" t="s">
        <v>206</v>
      </c>
    </row>
    <row r="22" spans="1:53" ht="14.25" customHeight="1" x14ac:dyDescent="0.3">
      <c r="A22" s="69" t="s">
        <v>95</v>
      </c>
      <c r="B22" s="69" t="s">
        <v>112</v>
      </c>
      <c r="C22" s="76">
        <v>24200</v>
      </c>
      <c r="D22" s="69">
        <v>38.200000000000003</v>
      </c>
      <c r="E22" s="71">
        <v>3063</v>
      </c>
      <c r="F22" s="71">
        <v>3991</v>
      </c>
      <c r="G22" s="71">
        <v>1671</v>
      </c>
      <c r="H22" s="71">
        <v>103</v>
      </c>
      <c r="I22" s="72">
        <v>862500000</v>
      </c>
      <c r="J22" s="71">
        <v>78609</v>
      </c>
      <c r="K22" s="71">
        <v>37478</v>
      </c>
      <c r="L22" s="69">
        <v>9170</v>
      </c>
      <c r="M22" s="69">
        <v>2.59</v>
      </c>
      <c r="N22" s="67">
        <v>1532</v>
      </c>
      <c r="O22" s="67">
        <v>710</v>
      </c>
      <c r="P22" s="67">
        <v>14107</v>
      </c>
      <c r="Q22" s="73">
        <v>6</v>
      </c>
      <c r="R22" s="73">
        <v>8</v>
      </c>
      <c r="S22" s="73">
        <v>9</v>
      </c>
      <c r="T22" s="73">
        <v>23</v>
      </c>
      <c r="U22" s="74">
        <v>5.72</v>
      </c>
      <c r="V22" s="74">
        <v>-5.75</v>
      </c>
      <c r="W22" s="74">
        <v>0.46</v>
      </c>
      <c r="X22" s="75">
        <v>1530</v>
      </c>
      <c r="Y22" s="74">
        <v>0.01</v>
      </c>
      <c r="Z22" s="74">
        <v>0.75</v>
      </c>
      <c r="AA22" s="74">
        <v>0.05</v>
      </c>
      <c r="AB22" s="74">
        <v>0.01</v>
      </c>
      <c r="AC22" s="74">
        <v>0.71</v>
      </c>
      <c r="AD22" s="75">
        <v>6440</v>
      </c>
      <c r="AE22" s="74">
        <v>0.63</v>
      </c>
      <c r="AF22" s="74">
        <v>0.03</v>
      </c>
      <c r="AG22" s="74">
        <v>0.49</v>
      </c>
      <c r="AH22" s="74">
        <v>2.06</v>
      </c>
      <c r="AI22" s="69">
        <v>30735604</v>
      </c>
      <c r="AJ22" s="69">
        <v>14398938</v>
      </c>
      <c r="AK22" s="69">
        <v>15060000</v>
      </c>
      <c r="AL22" s="69">
        <v>0</v>
      </c>
      <c r="AM22" s="69">
        <v>0</v>
      </c>
      <c r="AN22" s="69">
        <v>1509098</v>
      </c>
      <c r="AO22" s="69">
        <v>113666580</v>
      </c>
      <c r="AP22" s="67" t="s">
        <v>52</v>
      </c>
      <c r="AQ22" s="69">
        <v>2023</v>
      </c>
      <c r="AR22" s="69">
        <v>1</v>
      </c>
      <c r="AS22" s="69">
        <v>0</v>
      </c>
      <c r="AT22" s="69">
        <v>0</v>
      </c>
      <c r="AU22" s="69">
        <v>1</v>
      </c>
      <c r="AV22" s="69">
        <v>0</v>
      </c>
      <c r="AW22" s="69">
        <v>0</v>
      </c>
      <c r="AX22" s="69">
        <v>0</v>
      </c>
      <c r="AY22" s="69"/>
      <c r="AZ22" s="67">
        <f t="shared" si="0"/>
        <v>2</v>
      </c>
      <c r="BA22" s="64" t="s">
        <v>205</v>
      </c>
    </row>
    <row r="23" spans="1:53" ht="14.25" customHeight="1" x14ac:dyDescent="0.3">
      <c r="A23" s="69" t="s">
        <v>97</v>
      </c>
      <c r="B23" s="69" t="s">
        <v>112</v>
      </c>
      <c r="C23" s="76">
        <v>67824</v>
      </c>
      <c r="D23" s="69">
        <v>43</v>
      </c>
      <c r="E23" s="71">
        <v>6970</v>
      </c>
      <c r="F23" s="71">
        <v>13647</v>
      </c>
      <c r="G23" s="71">
        <v>5567</v>
      </c>
      <c r="H23" s="71">
        <v>1052</v>
      </c>
      <c r="I23" s="72">
        <v>2346517800</v>
      </c>
      <c r="J23" s="71">
        <v>74725</v>
      </c>
      <c r="K23" s="71">
        <v>37827</v>
      </c>
      <c r="L23" s="69">
        <v>24049</v>
      </c>
      <c r="M23" s="69">
        <v>2.76</v>
      </c>
      <c r="N23" s="67">
        <v>5775</v>
      </c>
      <c r="O23" s="67">
        <v>1796</v>
      </c>
      <c r="P23" s="67">
        <v>33476</v>
      </c>
      <c r="Q23" s="73">
        <v>7</v>
      </c>
      <c r="R23" s="73">
        <v>15</v>
      </c>
      <c r="S23" s="73">
        <v>15</v>
      </c>
      <c r="T23" s="73">
        <v>37</v>
      </c>
      <c r="U23" s="74">
        <v>6.21</v>
      </c>
      <c r="V23" s="74">
        <v>-0.87</v>
      </c>
      <c r="W23" s="74">
        <v>0.67</v>
      </c>
      <c r="X23" s="75">
        <v>2760</v>
      </c>
      <c r="Y23" s="74">
        <v>0.02</v>
      </c>
      <c r="Z23" s="74">
        <v>0.77</v>
      </c>
      <c r="AA23" s="74">
        <v>0.04</v>
      </c>
      <c r="AB23" s="74">
        <v>0.01</v>
      </c>
      <c r="AC23" s="74">
        <v>0.55000000000000004</v>
      </c>
      <c r="AD23" s="75">
        <v>3140</v>
      </c>
      <c r="AE23" s="74">
        <v>0.6</v>
      </c>
      <c r="AF23" s="74">
        <v>0.46</v>
      </c>
      <c r="AG23" s="74">
        <v>0.69</v>
      </c>
      <c r="AH23" s="74">
        <v>1.49</v>
      </c>
      <c r="AI23" s="69">
        <v>61444036</v>
      </c>
      <c r="AJ23" s="69">
        <v>42115187</v>
      </c>
      <c r="AK23" s="69">
        <v>198970000</v>
      </c>
      <c r="AL23" s="69">
        <v>0</v>
      </c>
      <c r="AM23" s="69">
        <v>0</v>
      </c>
      <c r="AN23" s="69">
        <v>0</v>
      </c>
      <c r="AO23" s="69">
        <v>203668493</v>
      </c>
      <c r="AP23" s="67" t="s">
        <v>59</v>
      </c>
      <c r="AQ23" s="69">
        <v>2022</v>
      </c>
      <c r="AR23" s="69">
        <v>1</v>
      </c>
      <c r="AS23" s="69">
        <v>0</v>
      </c>
      <c r="AT23" s="69">
        <v>1</v>
      </c>
      <c r="AU23" s="69">
        <v>1</v>
      </c>
      <c r="AV23" s="69">
        <v>0</v>
      </c>
      <c r="AW23" s="69">
        <v>0</v>
      </c>
      <c r="AX23" s="69">
        <v>0</v>
      </c>
      <c r="AY23" s="67"/>
      <c r="AZ23" s="67">
        <f t="shared" si="0"/>
        <v>3</v>
      </c>
      <c r="BA23" s="64" t="s">
        <v>205</v>
      </c>
    </row>
    <row r="24" spans="1:53" ht="14.25" customHeight="1" x14ac:dyDescent="0.3">
      <c r="A24" s="69" t="s">
        <v>99</v>
      </c>
      <c r="B24" s="69" t="s">
        <v>112</v>
      </c>
      <c r="C24" s="69">
        <v>2434</v>
      </c>
      <c r="D24" s="69">
        <v>45.1</v>
      </c>
      <c r="E24" s="71">
        <v>574</v>
      </c>
      <c r="F24" s="71">
        <v>237</v>
      </c>
      <c r="G24" s="71">
        <v>78</v>
      </c>
      <c r="H24" s="71">
        <v>5</v>
      </c>
      <c r="I24" s="72">
        <v>73022100</v>
      </c>
      <c r="J24" s="71">
        <v>66447</v>
      </c>
      <c r="K24" s="71">
        <v>32251</v>
      </c>
      <c r="L24" s="69">
        <v>916</v>
      </c>
      <c r="M24" s="69">
        <v>2.35</v>
      </c>
      <c r="N24" s="67">
        <v>223</v>
      </c>
      <c r="O24" s="67">
        <v>67</v>
      </c>
      <c r="P24" s="67">
        <v>1180</v>
      </c>
      <c r="Q24" s="73">
        <v>7</v>
      </c>
      <c r="R24" s="73">
        <v>15</v>
      </c>
      <c r="S24" s="73">
        <v>10</v>
      </c>
      <c r="T24" s="73">
        <v>32</v>
      </c>
      <c r="U24" s="74">
        <v>5.94</v>
      </c>
      <c r="V24" s="74">
        <v>0.36</v>
      </c>
      <c r="W24" s="74">
        <v>0.14000000000000001</v>
      </c>
      <c r="X24" s="75">
        <v>1134</v>
      </c>
      <c r="Y24" s="74">
        <v>7.0000000000000001E-3</v>
      </c>
      <c r="Z24" s="74">
        <v>4.3999999999999997E-2</v>
      </c>
      <c r="AA24" s="74">
        <v>8.9999999999999993E-3</v>
      </c>
      <c r="AB24" s="74">
        <v>1E-3</v>
      </c>
      <c r="AC24" s="74">
        <v>0.45</v>
      </c>
      <c r="AD24" s="75">
        <v>829</v>
      </c>
      <c r="AE24" s="74">
        <v>0.6</v>
      </c>
      <c r="AF24" s="74">
        <v>4.8000000000000001E-2</v>
      </c>
      <c r="AG24" s="74">
        <v>0.21</v>
      </c>
      <c r="AH24" s="74">
        <v>4.84</v>
      </c>
      <c r="AI24" s="69">
        <v>4277461</v>
      </c>
      <c r="AJ24" s="69">
        <v>4036758</v>
      </c>
      <c r="AK24" s="69">
        <v>1180000</v>
      </c>
      <c r="AL24" s="69">
        <v>0</v>
      </c>
      <c r="AM24" s="69">
        <v>0</v>
      </c>
      <c r="AN24" s="69">
        <v>1180547</v>
      </c>
      <c r="AO24" s="69">
        <v>2633308</v>
      </c>
      <c r="AP24" s="67" t="s">
        <v>59</v>
      </c>
      <c r="AQ24" s="69">
        <v>2020</v>
      </c>
      <c r="AR24" s="69">
        <v>1</v>
      </c>
      <c r="AS24" s="69">
        <v>0</v>
      </c>
      <c r="AT24" s="69">
        <v>0</v>
      </c>
      <c r="AU24" s="69">
        <v>0</v>
      </c>
      <c r="AV24" s="69">
        <v>0</v>
      </c>
      <c r="AW24" s="69">
        <v>0</v>
      </c>
      <c r="AX24" s="69">
        <v>1</v>
      </c>
      <c r="AY24" s="69" t="s">
        <v>100</v>
      </c>
      <c r="AZ24" s="67">
        <f t="shared" si="0"/>
        <v>2</v>
      </c>
      <c r="BA24" s="64" t="s">
        <v>207</v>
      </c>
    </row>
    <row r="25" spans="1:53" ht="14.25" customHeight="1" x14ac:dyDescent="0.3">
      <c r="A25" s="69" t="s">
        <v>102</v>
      </c>
      <c r="B25" s="69" t="s">
        <v>112</v>
      </c>
      <c r="C25" s="69">
        <v>26850</v>
      </c>
      <c r="D25" s="69">
        <v>40.6</v>
      </c>
      <c r="E25" s="71">
        <v>2184</v>
      </c>
      <c r="F25" s="71">
        <v>5886</v>
      </c>
      <c r="G25" s="71">
        <v>3921</v>
      </c>
      <c r="H25" s="71">
        <v>561</v>
      </c>
      <c r="I25" s="72">
        <v>1292972900</v>
      </c>
      <c r="J25" s="71">
        <v>100725</v>
      </c>
      <c r="K25" s="71">
        <v>49540</v>
      </c>
      <c r="L25" s="69">
        <v>10366</v>
      </c>
      <c r="M25" s="69">
        <v>2.58</v>
      </c>
      <c r="N25" s="67">
        <v>1205</v>
      </c>
      <c r="O25" s="67">
        <v>533</v>
      </c>
      <c r="P25" s="67">
        <v>14540</v>
      </c>
      <c r="Q25" s="73">
        <v>2</v>
      </c>
      <c r="R25" s="73">
        <v>4</v>
      </c>
      <c r="S25" s="73">
        <v>6</v>
      </c>
      <c r="T25" s="73">
        <v>12</v>
      </c>
      <c r="U25" s="74">
        <v>8.81</v>
      </c>
      <c r="V25" s="74">
        <v>0.24</v>
      </c>
      <c r="W25" s="74">
        <v>0.12</v>
      </c>
      <c r="X25" s="75">
        <v>819</v>
      </c>
      <c r="Y25" s="74">
        <v>0.02</v>
      </c>
      <c r="Z25" s="74">
        <v>0.38</v>
      </c>
      <c r="AA25" s="74">
        <v>6.0999999999999999E-2</v>
      </c>
      <c r="AB25" s="74">
        <v>0.01</v>
      </c>
      <c r="AC25" s="74">
        <v>0.46</v>
      </c>
      <c r="AD25" s="75">
        <v>3039</v>
      </c>
      <c r="AE25" s="74">
        <v>0.67</v>
      </c>
      <c r="AF25" s="74">
        <v>0.21299999999999999</v>
      </c>
      <c r="AG25" s="74">
        <v>0.41</v>
      </c>
      <c r="AH25" s="74">
        <v>2.74</v>
      </c>
      <c r="AI25" s="69">
        <v>17639045</v>
      </c>
      <c r="AJ25" s="69">
        <v>23681242</v>
      </c>
      <c r="AK25" s="69">
        <v>24624486</v>
      </c>
      <c r="AL25" s="69">
        <v>0</v>
      </c>
      <c r="AM25" s="69">
        <v>0</v>
      </c>
      <c r="AN25" s="69">
        <v>400002</v>
      </c>
      <c r="AO25" s="69">
        <v>25024488</v>
      </c>
      <c r="AP25" s="67" t="s">
        <v>52</v>
      </c>
      <c r="AQ25" s="69">
        <v>2025</v>
      </c>
      <c r="AR25" s="69">
        <v>1</v>
      </c>
      <c r="AS25" s="69">
        <v>0</v>
      </c>
      <c r="AT25" s="69">
        <v>0</v>
      </c>
      <c r="AU25" s="69">
        <v>1</v>
      </c>
      <c r="AV25" s="69">
        <v>0</v>
      </c>
      <c r="AW25" s="69">
        <v>0</v>
      </c>
      <c r="AX25" s="69">
        <v>0</v>
      </c>
      <c r="AY25" s="69"/>
      <c r="AZ25" s="67">
        <f t="shared" si="0"/>
        <v>2</v>
      </c>
      <c r="BA25" s="64" t="s">
        <v>207</v>
      </c>
    </row>
    <row r="26" spans="1:53" ht="14.25" customHeight="1" x14ac:dyDescent="0.3">
      <c r="A26" s="69" t="s">
        <v>104</v>
      </c>
      <c r="B26" s="69" t="s">
        <v>112</v>
      </c>
      <c r="C26" s="76">
        <v>15195</v>
      </c>
      <c r="D26" s="69">
        <v>38.5</v>
      </c>
      <c r="E26" s="71">
        <v>1239</v>
      </c>
      <c r="F26" s="71">
        <v>2757</v>
      </c>
      <c r="G26" s="71">
        <v>982</v>
      </c>
      <c r="H26" s="71">
        <v>134</v>
      </c>
      <c r="I26" s="72">
        <v>507352900</v>
      </c>
      <c r="J26" s="71">
        <v>86462</v>
      </c>
      <c r="K26" s="71">
        <v>39721</v>
      </c>
      <c r="L26" s="69">
        <v>5475</v>
      </c>
      <c r="M26" s="69">
        <v>2.5299999999999998</v>
      </c>
      <c r="N26" s="67">
        <v>1194</v>
      </c>
      <c r="O26" s="67">
        <v>295</v>
      </c>
      <c r="P26" s="67">
        <v>8494</v>
      </c>
      <c r="Q26" s="73">
        <v>1</v>
      </c>
      <c r="R26" s="73">
        <v>2</v>
      </c>
      <c r="S26" s="73">
        <v>4</v>
      </c>
      <c r="T26" s="73">
        <v>7</v>
      </c>
      <c r="U26" s="74">
        <v>11.42</v>
      </c>
      <c r="V26" s="74">
        <v>0.16</v>
      </c>
      <c r="W26" s="74">
        <v>0.23</v>
      </c>
      <c r="X26" s="75">
        <v>630</v>
      </c>
      <c r="Y26" s="74">
        <v>2.3E-2</v>
      </c>
      <c r="Z26" s="74">
        <v>0.34</v>
      </c>
      <c r="AA26" s="74">
        <v>6.2E-2</v>
      </c>
      <c r="AB26" s="74">
        <v>8.9999999999999993E-3</v>
      </c>
      <c r="AC26" s="74">
        <v>0.65</v>
      </c>
      <c r="AD26" s="75">
        <v>4628</v>
      </c>
      <c r="AE26" s="74">
        <v>0.91</v>
      </c>
      <c r="AF26" s="74">
        <v>7.0000000000000007E-2</v>
      </c>
      <c r="AG26" s="74">
        <v>0.26</v>
      </c>
      <c r="AH26" s="74">
        <v>3.83</v>
      </c>
      <c r="AI26" s="69">
        <v>12733780</v>
      </c>
      <c r="AJ26" s="69">
        <v>7350944</v>
      </c>
      <c r="AK26" s="69">
        <v>9730000</v>
      </c>
      <c r="AL26" s="69">
        <v>0</v>
      </c>
      <c r="AM26" s="69">
        <v>0</v>
      </c>
      <c r="AN26" s="69">
        <v>0</v>
      </c>
      <c r="AO26" s="69">
        <v>29807214</v>
      </c>
      <c r="AP26" s="67" t="s">
        <v>52</v>
      </c>
      <c r="AQ26" s="69">
        <v>2024</v>
      </c>
      <c r="AR26" s="69">
        <v>1</v>
      </c>
      <c r="AS26" s="69">
        <v>0</v>
      </c>
      <c r="AT26" s="69">
        <v>0</v>
      </c>
      <c r="AU26" s="69">
        <v>1</v>
      </c>
      <c r="AV26" s="69">
        <v>0</v>
      </c>
      <c r="AW26" s="69">
        <v>0</v>
      </c>
      <c r="AX26" s="69">
        <v>0</v>
      </c>
      <c r="AY26" s="69"/>
      <c r="AZ26" s="67">
        <f t="shared" si="0"/>
        <v>2</v>
      </c>
      <c r="BA26" s="64" t="s">
        <v>206</v>
      </c>
    </row>
    <row r="27" spans="1:53" ht="14.25" customHeight="1" x14ac:dyDescent="0.3">
      <c r="A27" s="69" t="s">
        <v>106</v>
      </c>
      <c r="B27" s="69" t="s">
        <v>112</v>
      </c>
      <c r="C27" s="76">
        <v>89321</v>
      </c>
      <c r="D27" s="69">
        <v>34.5</v>
      </c>
      <c r="E27" s="71">
        <v>13622</v>
      </c>
      <c r="F27" s="71">
        <v>7168</v>
      </c>
      <c r="G27" s="71">
        <v>2674</v>
      </c>
      <c r="H27" s="71">
        <v>448</v>
      </c>
      <c r="I27" s="72">
        <v>2108720200</v>
      </c>
      <c r="J27" s="71">
        <v>53778</v>
      </c>
      <c r="K27" s="71">
        <v>24827</v>
      </c>
      <c r="L27" s="69">
        <v>31195</v>
      </c>
      <c r="M27" s="69">
        <v>2.8</v>
      </c>
      <c r="N27" s="67">
        <v>13178</v>
      </c>
      <c r="O27" s="67">
        <v>2477</v>
      </c>
      <c r="P27" s="67">
        <v>46346</v>
      </c>
      <c r="Q27" s="73">
        <v>6</v>
      </c>
      <c r="R27" s="73">
        <v>10</v>
      </c>
      <c r="S27" s="73">
        <v>9</v>
      </c>
      <c r="T27" s="73">
        <v>25</v>
      </c>
      <c r="U27" s="74">
        <v>1.32</v>
      </c>
      <c r="V27" s="74">
        <v>-0.12</v>
      </c>
      <c r="W27" s="74">
        <v>0.57999999999999996</v>
      </c>
      <c r="X27" s="75">
        <v>1145</v>
      </c>
      <c r="Y27" s="74">
        <v>3.4000000000000002E-2</v>
      </c>
      <c r="Z27" s="74">
        <v>0.71</v>
      </c>
      <c r="AA27" s="74">
        <v>5.0999999999999997E-2</v>
      </c>
      <c r="AB27" s="74">
        <v>4.0000000000000001E-3</v>
      </c>
      <c r="AC27" s="74">
        <v>0.67</v>
      </c>
      <c r="AD27" s="75">
        <v>3978</v>
      </c>
      <c r="AE27" s="74">
        <v>0.74</v>
      </c>
      <c r="AF27" s="74">
        <v>0.19</v>
      </c>
      <c r="AG27" s="74">
        <v>0.64</v>
      </c>
      <c r="AH27" s="74">
        <v>1.56</v>
      </c>
      <c r="AI27" s="69">
        <v>72811149</v>
      </c>
      <c r="AJ27" s="69">
        <v>57511185</v>
      </c>
      <c r="AK27" s="69">
        <v>94699268</v>
      </c>
      <c r="AL27" s="69">
        <v>35227318</v>
      </c>
      <c r="AM27" s="69">
        <v>0</v>
      </c>
      <c r="AN27" s="69">
        <v>0</v>
      </c>
      <c r="AO27" s="69">
        <v>451205019</v>
      </c>
      <c r="AP27" s="67" t="s">
        <v>52</v>
      </c>
      <c r="AQ27" s="69">
        <v>2020</v>
      </c>
      <c r="AR27" s="69">
        <v>1</v>
      </c>
      <c r="AS27" s="69">
        <v>0</v>
      </c>
      <c r="AT27" s="69">
        <v>0</v>
      </c>
      <c r="AU27" s="69">
        <v>0</v>
      </c>
      <c r="AV27" s="69">
        <v>0</v>
      </c>
      <c r="AW27" s="69">
        <v>0</v>
      </c>
      <c r="AX27" s="69">
        <v>2</v>
      </c>
      <c r="AY27" s="69" t="s">
        <v>107</v>
      </c>
      <c r="AZ27" s="67">
        <f t="shared" si="0"/>
        <v>3</v>
      </c>
      <c r="BA27" s="64" t="s">
        <v>207</v>
      </c>
    </row>
    <row r="28" spans="1:53" ht="14.25" customHeight="1" x14ac:dyDescent="0.3">
      <c r="A28" s="69" t="s">
        <v>108</v>
      </c>
      <c r="B28" s="69" t="s">
        <v>112</v>
      </c>
      <c r="C28" s="76">
        <v>28170</v>
      </c>
      <c r="D28" s="69">
        <v>45.7</v>
      </c>
      <c r="E28" s="71">
        <v>667</v>
      </c>
      <c r="F28" s="71">
        <v>6028</v>
      </c>
      <c r="G28" s="71">
        <v>5660</v>
      </c>
      <c r="H28" s="71">
        <v>1126</v>
      </c>
      <c r="I28" s="72">
        <v>2601295000</v>
      </c>
      <c r="J28" s="71">
        <v>161765</v>
      </c>
      <c r="K28" s="71">
        <v>96523</v>
      </c>
      <c r="L28" s="69">
        <v>10398</v>
      </c>
      <c r="M28" s="69">
        <v>2.66</v>
      </c>
      <c r="N28" s="67">
        <v>805</v>
      </c>
      <c r="O28" s="67">
        <v>546</v>
      </c>
      <c r="P28" s="67">
        <v>12730</v>
      </c>
      <c r="Q28" s="73">
        <v>5</v>
      </c>
      <c r="R28" s="73">
        <v>11</v>
      </c>
      <c r="S28" s="73">
        <v>7</v>
      </c>
      <c r="T28" s="73">
        <v>23</v>
      </c>
      <c r="U28" s="74">
        <v>5.26</v>
      </c>
      <c r="V28" s="74">
        <v>0.41</v>
      </c>
      <c r="W28" s="74">
        <v>0.59</v>
      </c>
      <c r="X28" s="75">
        <v>2787</v>
      </c>
      <c r="Y28" s="74">
        <v>6.0000000000000001E-3</v>
      </c>
      <c r="Z28" s="74">
        <v>0.82</v>
      </c>
      <c r="AA28" s="74">
        <v>3.4000000000000002E-2</v>
      </c>
      <c r="AB28" s="74">
        <v>3.0000000000000001E-3</v>
      </c>
      <c r="AC28" s="74">
        <v>0.73</v>
      </c>
      <c r="AD28" s="75">
        <v>8329</v>
      </c>
      <c r="AE28" s="74">
        <v>0.74</v>
      </c>
      <c r="AF28" s="74">
        <v>0.04</v>
      </c>
      <c r="AG28" s="74">
        <v>0.6</v>
      </c>
      <c r="AH28" s="74">
        <v>1.41</v>
      </c>
      <c r="AI28" s="69">
        <v>27524584</v>
      </c>
      <c r="AJ28" s="69">
        <v>12928729</v>
      </c>
      <c r="AK28" s="69">
        <v>106310000</v>
      </c>
      <c r="AL28" s="69">
        <v>0</v>
      </c>
      <c r="AM28" s="69">
        <v>0</v>
      </c>
      <c r="AN28" s="69">
        <v>13510534</v>
      </c>
      <c r="AO28" s="69">
        <v>191813179</v>
      </c>
      <c r="AP28" s="67" t="s">
        <v>52</v>
      </c>
      <c r="AQ28" s="69">
        <v>2021</v>
      </c>
      <c r="AR28" s="69">
        <v>1</v>
      </c>
      <c r="AS28" s="69">
        <v>0</v>
      </c>
      <c r="AT28" s="69">
        <v>1</v>
      </c>
      <c r="AU28" s="69">
        <v>1</v>
      </c>
      <c r="AV28" s="69">
        <v>0</v>
      </c>
      <c r="AW28" s="69">
        <v>0</v>
      </c>
      <c r="AX28" s="69">
        <v>2</v>
      </c>
      <c r="AY28" s="69" t="s">
        <v>109</v>
      </c>
      <c r="AZ28" s="67">
        <f t="shared" si="0"/>
        <v>5</v>
      </c>
      <c r="BA28" s="64" t="s">
        <v>206</v>
      </c>
    </row>
    <row r="29" spans="1:53" ht="14.25" customHeight="1" x14ac:dyDescent="0.3">
      <c r="A29" s="64" t="s">
        <v>113</v>
      </c>
      <c r="B29" s="69" t="s">
        <v>129</v>
      </c>
      <c r="C29" s="64">
        <v>80049</v>
      </c>
      <c r="D29" s="64">
        <v>25.1</v>
      </c>
      <c r="E29" s="64">
        <v>5060</v>
      </c>
      <c r="F29" s="64">
        <v>9909</v>
      </c>
      <c r="G29" s="64">
        <v>8975</v>
      </c>
      <c r="H29" s="64">
        <v>3271</v>
      </c>
      <c r="I29" s="64">
        <v>2799767800</v>
      </c>
      <c r="J29" s="64">
        <v>50465</v>
      </c>
      <c r="K29" s="64">
        <v>35299</v>
      </c>
      <c r="L29" s="64">
        <v>34514</v>
      </c>
      <c r="M29" s="64">
        <v>1.91</v>
      </c>
      <c r="N29" s="64">
        <v>19736</v>
      </c>
      <c r="O29" s="64">
        <v>2833</v>
      </c>
      <c r="P29" s="64">
        <v>42758</v>
      </c>
      <c r="Q29" s="73">
        <v>4</v>
      </c>
      <c r="R29" s="73">
        <v>12</v>
      </c>
      <c r="S29" s="73">
        <v>12</v>
      </c>
      <c r="T29" s="73">
        <v>28</v>
      </c>
      <c r="U29" s="64">
        <v>4.4852090000000002</v>
      </c>
      <c r="V29" s="64">
        <v>0.369506</v>
      </c>
      <c r="W29" s="64">
        <v>0.331262</v>
      </c>
      <c r="X29" s="64">
        <v>3643.65</v>
      </c>
      <c r="Y29" s="64">
        <v>8.1384999999999999E-2</v>
      </c>
      <c r="Z29" s="64">
        <v>0.171434</v>
      </c>
      <c r="AA29" s="64">
        <v>1.1542E-2</v>
      </c>
      <c r="AB29" s="64">
        <v>2.3948000000000001E-2</v>
      </c>
      <c r="AC29" s="64">
        <v>0.62674799999999997</v>
      </c>
      <c r="AD29" s="64">
        <v>5395.56</v>
      </c>
      <c r="AE29" s="64">
        <v>0.66120199999999996</v>
      </c>
      <c r="AF29" s="64">
        <v>0.219666</v>
      </c>
      <c r="AG29" s="64">
        <v>0.38922499999999999</v>
      </c>
      <c r="AH29" s="64">
        <v>2.5692080000000002</v>
      </c>
      <c r="AI29" s="64">
        <v>111782719</v>
      </c>
      <c r="AJ29" s="64">
        <v>13054190</v>
      </c>
      <c r="AK29" s="64">
        <v>33330000</v>
      </c>
      <c r="AL29" s="64">
        <v>185312300</v>
      </c>
      <c r="AM29" s="69">
        <v>0</v>
      </c>
      <c r="AN29" s="64">
        <v>63926571</v>
      </c>
      <c r="AO29" s="64">
        <v>306034178</v>
      </c>
      <c r="AP29" s="64" t="s">
        <v>52</v>
      </c>
      <c r="AQ29" s="69">
        <v>2022</v>
      </c>
      <c r="AR29" s="64">
        <v>0</v>
      </c>
      <c r="AS29" s="64">
        <v>0</v>
      </c>
      <c r="AT29" s="64">
        <v>1</v>
      </c>
      <c r="AU29" s="64">
        <v>0</v>
      </c>
      <c r="AV29">
        <v>1</v>
      </c>
      <c r="AW29">
        <v>1</v>
      </c>
      <c r="AX29" s="64">
        <v>0</v>
      </c>
      <c r="AY29" s="64"/>
      <c r="AZ29" s="64">
        <f t="shared" si="0"/>
        <v>3</v>
      </c>
      <c r="BA29" s="64" t="s">
        <v>205</v>
      </c>
    </row>
    <row r="30" spans="1:53" ht="14.25" customHeight="1" x14ac:dyDescent="0.3">
      <c r="A30" s="64" t="s">
        <v>114</v>
      </c>
      <c r="B30" s="69" t="s">
        <v>129</v>
      </c>
      <c r="C30" s="64">
        <v>116116</v>
      </c>
      <c r="D30" s="64">
        <v>38.200000000000003</v>
      </c>
      <c r="E30" s="64">
        <v>21864</v>
      </c>
      <c r="F30" s="64">
        <v>12493</v>
      </c>
      <c r="G30" s="64">
        <v>4374</v>
      </c>
      <c r="H30" s="64">
        <v>677</v>
      </c>
      <c r="I30" s="64">
        <v>3783224000</v>
      </c>
      <c r="J30" s="64">
        <v>53387</v>
      </c>
      <c r="K30" s="64">
        <v>32690</v>
      </c>
      <c r="L30" s="64">
        <v>53095</v>
      </c>
      <c r="M30" s="64">
        <v>2.12</v>
      </c>
      <c r="N30" s="64">
        <v>20674</v>
      </c>
      <c r="O30" s="64">
        <v>3033</v>
      </c>
      <c r="P30" s="64">
        <v>59249</v>
      </c>
      <c r="Q30" s="73">
        <v>5</v>
      </c>
      <c r="R30" s="73">
        <v>12</v>
      </c>
      <c r="S30" s="73">
        <v>12</v>
      </c>
      <c r="T30" s="73">
        <v>29</v>
      </c>
      <c r="U30" s="56">
        <v>2.7038000000000002</v>
      </c>
      <c r="V30" s="56">
        <v>-1.4774</v>
      </c>
      <c r="W30" s="56">
        <v>0.48409999999999997</v>
      </c>
      <c r="X30" s="56">
        <v>7474.9</v>
      </c>
      <c r="Y30" s="56">
        <v>0.21460000000000001</v>
      </c>
      <c r="Z30" s="56">
        <v>9.2799999999999994E-2</v>
      </c>
      <c r="AA30" s="56">
        <v>8.8499999999999995E-2</v>
      </c>
      <c r="AB30" s="56">
        <v>0.46589999999999998</v>
      </c>
      <c r="AC30" s="56">
        <v>0.90280000000000005</v>
      </c>
      <c r="AD30" s="56">
        <v>11188</v>
      </c>
      <c r="AE30" s="56">
        <v>2.3506</v>
      </c>
      <c r="AF30" s="56">
        <v>0.66310000000000002</v>
      </c>
      <c r="AG30" s="56">
        <v>0.87090000000000001</v>
      </c>
      <c r="AH30" s="56">
        <v>1.1496</v>
      </c>
      <c r="AI30" s="58">
        <v>106431102000</v>
      </c>
      <c r="AJ30" s="58">
        <v>20881763000</v>
      </c>
      <c r="AK30" s="57">
        <v>0</v>
      </c>
      <c r="AL30" s="58">
        <v>386040000000</v>
      </c>
      <c r="AM30" s="57">
        <v>0</v>
      </c>
      <c r="AN30" s="58">
        <v>9690959000</v>
      </c>
      <c r="AO30" s="58">
        <v>921018371000</v>
      </c>
      <c r="AP30" s="64" t="s">
        <v>59</v>
      </c>
      <c r="AQ30" s="69">
        <v>2025</v>
      </c>
      <c r="AR30" s="64">
        <v>0</v>
      </c>
      <c r="AS30" s="64">
        <v>0</v>
      </c>
      <c r="AT30" s="64">
        <v>0</v>
      </c>
      <c r="AU30" s="64">
        <v>0</v>
      </c>
      <c r="AV30">
        <v>1</v>
      </c>
      <c r="AW30" s="54">
        <v>0</v>
      </c>
      <c r="AX30" s="64">
        <v>0</v>
      </c>
      <c r="AY30" s="64"/>
      <c r="AZ30" s="64">
        <f t="shared" si="0"/>
        <v>1</v>
      </c>
      <c r="BA30" s="64" t="s">
        <v>205</v>
      </c>
    </row>
    <row r="31" spans="1:53" ht="14.25" customHeight="1" x14ac:dyDescent="0.3">
      <c r="A31" s="64" t="s">
        <v>128</v>
      </c>
      <c r="B31" s="69" t="s">
        <v>129</v>
      </c>
      <c r="C31" s="64">
        <v>268589</v>
      </c>
      <c r="D31" s="64">
        <v>35</v>
      </c>
      <c r="E31" s="64">
        <v>42227</v>
      </c>
      <c r="F31" s="64">
        <v>34844</v>
      </c>
      <c r="G31" s="64">
        <v>12586</v>
      </c>
      <c r="H31" s="64">
        <v>1336</v>
      </c>
      <c r="I31" s="64">
        <v>8941922200</v>
      </c>
      <c r="J31" s="64">
        <v>61422</v>
      </c>
      <c r="K31" s="64">
        <v>33812</v>
      </c>
      <c r="L31" s="64">
        <v>110929</v>
      </c>
      <c r="M31" s="64">
        <v>2.38</v>
      </c>
      <c r="N31" s="64">
        <v>42225</v>
      </c>
      <c r="O31" s="64">
        <v>7759</v>
      </c>
      <c r="P31" s="64">
        <v>138501</v>
      </c>
      <c r="Q31" s="73">
        <v>4</v>
      </c>
      <c r="R31" s="73">
        <v>10</v>
      </c>
      <c r="S31" s="73">
        <v>9</v>
      </c>
      <c r="T31" s="73">
        <v>23</v>
      </c>
      <c r="U31" s="56">
        <v>4.0041000000000002</v>
      </c>
      <c r="V31" s="56">
        <v>-5.79E-2</v>
      </c>
      <c r="W31" s="56">
        <v>0.45450000000000002</v>
      </c>
      <c r="X31" s="56">
        <v>5212.25</v>
      </c>
      <c r="Y31" s="56">
        <v>6.1100000000000002E-2</v>
      </c>
      <c r="Z31" s="56">
        <v>0.12889999999999999</v>
      </c>
      <c r="AA31" s="56">
        <v>3.4000000000000002E-2</v>
      </c>
      <c r="AB31" s="56">
        <v>0.1239</v>
      </c>
      <c r="AC31" s="56">
        <v>0.73309999999999997</v>
      </c>
      <c r="AD31" s="56">
        <v>4464.49</v>
      </c>
      <c r="AE31" s="56">
        <v>0.94030000000000002</v>
      </c>
      <c r="AF31" s="56">
        <v>7.6399999999999996E-2</v>
      </c>
      <c r="AG31" s="56">
        <v>0.51160000000000005</v>
      </c>
      <c r="AH31" s="56">
        <v>1.9547000000000001</v>
      </c>
      <c r="AI31" s="58">
        <v>255130027</v>
      </c>
      <c r="AJ31" s="58">
        <v>67567807</v>
      </c>
      <c r="AK31" s="58">
        <v>3805000</v>
      </c>
      <c r="AL31" s="58">
        <v>272690000</v>
      </c>
      <c r="AM31" s="58">
        <v>113720000</v>
      </c>
      <c r="AN31" s="58">
        <v>143230454</v>
      </c>
      <c r="AO31" s="58">
        <v>1065592942</v>
      </c>
      <c r="AP31" s="64" t="s">
        <v>52</v>
      </c>
      <c r="AQ31" s="69">
        <v>2023</v>
      </c>
      <c r="AR31" s="64">
        <v>0</v>
      </c>
      <c r="AS31" s="64">
        <v>0</v>
      </c>
      <c r="AT31" s="64">
        <v>1</v>
      </c>
      <c r="AU31" s="64">
        <v>0</v>
      </c>
      <c r="AV31">
        <v>1</v>
      </c>
      <c r="AW31" s="54">
        <v>1</v>
      </c>
      <c r="AX31" s="64">
        <v>0</v>
      </c>
      <c r="AY31" s="64"/>
      <c r="AZ31" s="64">
        <f t="shared" si="0"/>
        <v>3</v>
      </c>
      <c r="BA31" s="64" t="s">
        <v>205</v>
      </c>
    </row>
    <row r="32" spans="1:53" ht="14.25" customHeight="1" x14ac:dyDescent="0.3">
      <c r="A32" s="64" t="s">
        <v>115</v>
      </c>
      <c r="B32" s="69" t="s">
        <v>129</v>
      </c>
      <c r="C32" s="64">
        <v>68113</v>
      </c>
      <c r="D32" s="64">
        <v>36.5</v>
      </c>
      <c r="E32" s="64">
        <v>13920</v>
      </c>
      <c r="F32" s="64">
        <v>4238</v>
      </c>
      <c r="G32" s="64">
        <v>1819</v>
      </c>
      <c r="H32" s="64">
        <v>113</v>
      </c>
      <c r="I32" s="64">
        <v>1534462300</v>
      </c>
      <c r="J32" s="64">
        <v>38731</v>
      </c>
      <c r="K32" s="64">
        <v>23453</v>
      </c>
      <c r="L32" s="64">
        <v>27227</v>
      </c>
      <c r="M32" s="64">
        <v>2.48</v>
      </c>
      <c r="N32" s="64">
        <v>22346</v>
      </c>
      <c r="O32" s="64">
        <v>2794</v>
      </c>
      <c r="P32" s="64">
        <v>25505</v>
      </c>
      <c r="Q32" s="73">
        <v>6</v>
      </c>
      <c r="R32" s="73">
        <v>14</v>
      </c>
      <c r="S32" s="73">
        <v>15</v>
      </c>
      <c r="T32" s="73">
        <v>35</v>
      </c>
      <c r="U32" s="56">
        <v>1.8957999999999999</v>
      </c>
      <c r="V32" s="57">
        <v>0</v>
      </c>
      <c r="W32" s="57">
        <v>0</v>
      </c>
      <c r="X32" s="56">
        <v>537.33000000000004</v>
      </c>
      <c r="Y32" s="56">
        <v>0.1133</v>
      </c>
      <c r="Z32" s="57">
        <v>0</v>
      </c>
      <c r="AA32" s="57">
        <v>0</v>
      </c>
      <c r="AB32" s="57">
        <v>0</v>
      </c>
      <c r="AC32" s="57">
        <v>0</v>
      </c>
      <c r="AD32" s="56">
        <v>10301.89</v>
      </c>
      <c r="AE32" s="57">
        <v>0</v>
      </c>
      <c r="AF32" s="57">
        <v>0</v>
      </c>
      <c r="AG32" s="57">
        <v>0</v>
      </c>
      <c r="AH32" s="57">
        <v>0</v>
      </c>
      <c r="AI32" s="58">
        <v>40854635</v>
      </c>
      <c r="AJ32" s="58">
        <v>30939139</v>
      </c>
      <c r="AK32" s="57"/>
      <c r="AL32" s="58">
        <v>43710000</v>
      </c>
      <c r="AM32" s="57">
        <v>0</v>
      </c>
      <c r="AN32" s="57">
        <v>0</v>
      </c>
      <c r="AO32" s="58">
        <v>45910000</v>
      </c>
      <c r="AP32" s="64" t="s">
        <v>52</v>
      </c>
      <c r="AQ32" s="69">
        <v>2021</v>
      </c>
      <c r="AR32" s="64">
        <v>0</v>
      </c>
      <c r="AS32" s="64">
        <v>0</v>
      </c>
      <c r="AT32" s="64">
        <v>0</v>
      </c>
      <c r="AU32" s="64">
        <v>0</v>
      </c>
      <c r="AV32">
        <v>1</v>
      </c>
      <c r="AW32" s="54">
        <v>1</v>
      </c>
      <c r="AX32" s="64">
        <v>0</v>
      </c>
      <c r="AY32" s="64"/>
      <c r="AZ32" s="64">
        <f t="shared" si="0"/>
        <v>2</v>
      </c>
      <c r="BA32" s="64" t="s">
        <v>205</v>
      </c>
    </row>
    <row r="33" spans="1:53" ht="14.25" customHeight="1" x14ac:dyDescent="0.3">
      <c r="A33" s="64" t="s">
        <v>116</v>
      </c>
      <c r="B33" s="69" t="s">
        <v>129</v>
      </c>
      <c r="C33" s="64">
        <v>34420</v>
      </c>
      <c r="D33" s="64">
        <v>34.4</v>
      </c>
      <c r="E33" s="64">
        <v>6429</v>
      </c>
      <c r="F33" s="64">
        <v>2929</v>
      </c>
      <c r="G33" s="64">
        <v>1643</v>
      </c>
      <c r="H33" s="64">
        <v>309</v>
      </c>
      <c r="I33" s="64">
        <v>900839000</v>
      </c>
      <c r="J33" s="64">
        <v>59184</v>
      </c>
      <c r="K33" s="64">
        <v>28295</v>
      </c>
      <c r="L33" s="64">
        <v>12152</v>
      </c>
      <c r="M33" s="64">
        <v>2.73</v>
      </c>
      <c r="N33" s="64">
        <v>5663</v>
      </c>
      <c r="O33" s="64">
        <v>649</v>
      </c>
      <c r="P33" s="64">
        <v>16092</v>
      </c>
      <c r="Q33" s="73">
        <v>4</v>
      </c>
      <c r="R33" s="73">
        <v>12</v>
      </c>
      <c r="S33" s="73">
        <v>10</v>
      </c>
      <c r="T33" s="73">
        <v>26</v>
      </c>
      <c r="U33" s="56">
        <v>27.1189</v>
      </c>
      <c r="V33" s="57">
        <v>0</v>
      </c>
      <c r="W33" s="57">
        <v>0</v>
      </c>
      <c r="X33" s="56">
        <v>2075.8000000000002</v>
      </c>
      <c r="Y33" s="56">
        <v>6.3899999999999998E-2</v>
      </c>
      <c r="Z33" s="57">
        <v>0</v>
      </c>
      <c r="AA33" s="57">
        <v>0</v>
      </c>
      <c r="AB33" s="57">
        <v>0</v>
      </c>
      <c r="AC33" s="57">
        <v>0</v>
      </c>
      <c r="AD33" s="56">
        <v>9558.16</v>
      </c>
      <c r="AE33" s="57">
        <v>0</v>
      </c>
      <c r="AF33" s="57">
        <v>0</v>
      </c>
      <c r="AG33" s="57">
        <v>0</v>
      </c>
      <c r="AH33" s="57">
        <v>0</v>
      </c>
      <c r="AI33" s="58">
        <v>31323587</v>
      </c>
      <c r="AJ33" s="58">
        <v>22025390</v>
      </c>
      <c r="AK33" s="58">
        <v>2510000</v>
      </c>
      <c r="AL33" s="58">
        <v>43103100</v>
      </c>
      <c r="AM33" s="58">
        <v>30389000</v>
      </c>
      <c r="AN33" s="57">
        <v>0</v>
      </c>
      <c r="AO33" s="58">
        <v>76002100</v>
      </c>
      <c r="AP33" s="64" t="s">
        <v>52</v>
      </c>
      <c r="AQ33" s="69">
        <v>2021</v>
      </c>
      <c r="AR33" s="64">
        <v>0</v>
      </c>
      <c r="AS33" s="64">
        <v>0</v>
      </c>
      <c r="AT33" s="64">
        <v>0</v>
      </c>
      <c r="AU33" s="64">
        <v>0</v>
      </c>
      <c r="AV33">
        <v>0</v>
      </c>
      <c r="AW33" s="54">
        <v>0</v>
      </c>
      <c r="AX33" s="64">
        <v>0</v>
      </c>
      <c r="AY33" s="64"/>
      <c r="AZ33" s="64">
        <f t="shared" si="0"/>
        <v>0</v>
      </c>
      <c r="BA33" s="64" t="s">
        <v>205</v>
      </c>
    </row>
    <row r="34" spans="1:53" s="94" customFormat="1" ht="14.25" customHeight="1" x14ac:dyDescent="0.3">
      <c r="A34" s="89" t="s">
        <v>117</v>
      </c>
      <c r="B34" s="90" t="s">
        <v>129</v>
      </c>
      <c r="C34" s="89">
        <v>23680</v>
      </c>
      <c r="D34" s="89">
        <v>44.6</v>
      </c>
      <c r="E34" s="89">
        <v>5032</v>
      </c>
      <c r="F34" s="89">
        <v>3591</v>
      </c>
      <c r="G34" s="89">
        <v>1377</v>
      </c>
      <c r="H34" s="89">
        <v>138</v>
      </c>
      <c r="I34" s="89">
        <v>996695300</v>
      </c>
      <c r="J34" s="89">
        <v>78062</v>
      </c>
      <c r="K34" s="89">
        <v>42248</v>
      </c>
      <c r="L34" s="89">
        <v>10440</v>
      </c>
      <c r="M34" s="89">
        <v>2.27</v>
      </c>
      <c r="N34" s="89">
        <v>2724</v>
      </c>
      <c r="O34" s="89">
        <v>575</v>
      </c>
      <c r="P34" s="89">
        <v>12184</v>
      </c>
      <c r="Q34" s="91">
        <v>4</v>
      </c>
      <c r="R34" s="91">
        <v>8</v>
      </c>
      <c r="S34" s="91">
        <v>7</v>
      </c>
      <c r="T34" s="91">
        <v>19</v>
      </c>
      <c r="U34" s="95"/>
      <c r="V34" s="96"/>
      <c r="W34" s="96"/>
      <c r="X34" s="96"/>
      <c r="Y34" s="95"/>
      <c r="Z34" s="96"/>
      <c r="AA34" s="96"/>
      <c r="AB34" s="96"/>
      <c r="AC34" s="96"/>
      <c r="AD34" s="95"/>
      <c r="AE34" s="96"/>
      <c r="AF34" s="96"/>
      <c r="AG34" s="96"/>
      <c r="AH34" s="96"/>
      <c r="AI34" s="89"/>
      <c r="AJ34" s="92"/>
      <c r="AK34" s="93"/>
      <c r="AL34" s="93"/>
      <c r="AM34" s="93"/>
      <c r="AN34" s="93"/>
      <c r="AO34" s="93"/>
      <c r="AP34" s="89" t="s">
        <v>59</v>
      </c>
      <c r="AQ34" s="90">
        <v>2023</v>
      </c>
      <c r="AR34" s="64">
        <v>0</v>
      </c>
      <c r="AS34" s="64">
        <v>0</v>
      </c>
      <c r="AT34" s="64">
        <v>0</v>
      </c>
      <c r="AU34" s="64">
        <v>0</v>
      </c>
      <c r="AV34">
        <v>0</v>
      </c>
      <c r="AW34" s="54">
        <v>0</v>
      </c>
      <c r="AX34" s="64">
        <v>0</v>
      </c>
      <c r="AY34" s="89"/>
      <c r="AZ34" s="64">
        <f t="shared" si="0"/>
        <v>0</v>
      </c>
      <c r="BA34" s="89" t="s">
        <v>206</v>
      </c>
    </row>
    <row r="35" spans="1:53" ht="14.25" customHeight="1" x14ac:dyDescent="0.3">
      <c r="A35" s="64" t="s">
        <v>118</v>
      </c>
      <c r="B35" s="69" t="s">
        <v>129</v>
      </c>
      <c r="C35" s="64">
        <v>29558</v>
      </c>
      <c r="D35" s="64">
        <v>39.5</v>
      </c>
      <c r="E35" s="64">
        <v>7350</v>
      </c>
      <c r="F35" s="64">
        <v>3433</v>
      </c>
      <c r="G35" s="64">
        <v>1037</v>
      </c>
      <c r="H35" s="64">
        <v>10</v>
      </c>
      <c r="I35" s="64">
        <v>1068887900</v>
      </c>
      <c r="J35" s="64">
        <v>75160</v>
      </c>
      <c r="K35" s="64">
        <v>36514</v>
      </c>
      <c r="L35" s="64">
        <v>12226</v>
      </c>
      <c r="M35" s="64">
        <v>2.4</v>
      </c>
      <c r="N35" s="64">
        <v>2938</v>
      </c>
      <c r="O35" s="64">
        <v>667</v>
      </c>
      <c r="P35" s="64">
        <v>15435</v>
      </c>
      <c r="Q35" s="73">
        <v>8</v>
      </c>
      <c r="R35" s="73">
        <v>16</v>
      </c>
      <c r="S35" s="73">
        <v>14</v>
      </c>
      <c r="T35" s="73">
        <v>38</v>
      </c>
      <c r="U35" s="56">
        <v>7.1086</v>
      </c>
      <c r="V35" s="57">
        <v>0</v>
      </c>
      <c r="W35" s="57">
        <v>0</v>
      </c>
      <c r="X35" s="57">
        <v>0</v>
      </c>
      <c r="Y35" s="56">
        <v>9.3299999999999994E-2</v>
      </c>
      <c r="Z35" s="57">
        <v>0</v>
      </c>
      <c r="AA35" s="57">
        <v>0</v>
      </c>
      <c r="AB35" s="57">
        <v>0</v>
      </c>
      <c r="AC35" s="57">
        <v>0</v>
      </c>
      <c r="AD35" s="56">
        <v>75900.33</v>
      </c>
      <c r="AE35" s="57">
        <v>0</v>
      </c>
      <c r="AF35" s="57">
        <v>0</v>
      </c>
      <c r="AG35" s="57">
        <v>0</v>
      </c>
      <c r="AH35" s="57">
        <v>0</v>
      </c>
      <c r="AI35" s="58">
        <v>21059067</v>
      </c>
      <c r="AJ35" s="58">
        <v>5402740</v>
      </c>
      <c r="AK35" s="58">
        <v>13840000</v>
      </c>
      <c r="AL35" s="58">
        <v>26588000</v>
      </c>
      <c r="AM35" s="57">
        <v>0</v>
      </c>
      <c r="AN35" s="57">
        <v>0</v>
      </c>
      <c r="AO35" s="58">
        <v>40428000</v>
      </c>
      <c r="AP35" s="64" t="s">
        <v>52</v>
      </c>
      <c r="AQ35" s="69">
        <v>2020</v>
      </c>
      <c r="AR35" s="64">
        <v>0</v>
      </c>
      <c r="AS35" s="64">
        <v>0</v>
      </c>
      <c r="AT35" s="64">
        <v>0</v>
      </c>
      <c r="AU35" s="64">
        <v>0</v>
      </c>
      <c r="AV35">
        <v>0</v>
      </c>
      <c r="AW35" s="54">
        <v>0</v>
      </c>
      <c r="AX35" s="64">
        <v>0</v>
      </c>
      <c r="AY35" s="64"/>
      <c r="AZ35" s="64">
        <f t="shared" si="0"/>
        <v>0</v>
      </c>
      <c r="BA35" s="64" t="s">
        <v>205</v>
      </c>
    </row>
    <row r="36" spans="1:53" s="94" customFormat="1" ht="14.25" customHeight="1" x14ac:dyDescent="0.3">
      <c r="A36" s="89" t="s">
        <v>119</v>
      </c>
      <c r="B36" s="90" t="s">
        <v>129</v>
      </c>
      <c r="C36" s="89">
        <v>17030</v>
      </c>
      <c r="D36" s="89">
        <v>34.799999999999997</v>
      </c>
      <c r="E36" s="89">
        <v>3947</v>
      </c>
      <c r="F36" s="89">
        <v>1162</v>
      </c>
      <c r="G36" s="89">
        <v>459</v>
      </c>
      <c r="H36" s="89">
        <v>40</v>
      </c>
      <c r="I36" s="89">
        <v>471179700</v>
      </c>
      <c r="J36" s="89">
        <v>56520</v>
      </c>
      <c r="K36" s="89">
        <v>27844</v>
      </c>
      <c r="L36" s="89">
        <v>7009</v>
      </c>
      <c r="M36" s="89">
        <v>2.25</v>
      </c>
      <c r="N36" s="89">
        <v>2356</v>
      </c>
      <c r="O36" s="89">
        <v>398</v>
      </c>
      <c r="P36" s="89">
        <v>8696</v>
      </c>
      <c r="Q36" s="91">
        <v>1</v>
      </c>
      <c r="R36" s="91">
        <v>8</v>
      </c>
      <c r="S36" s="91">
        <v>5</v>
      </c>
      <c r="T36" s="91">
        <v>14</v>
      </c>
      <c r="U36" s="89"/>
      <c r="V36" s="89"/>
      <c r="W36" s="89"/>
      <c r="X36" s="89"/>
      <c r="Y36" s="89"/>
      <c r="Z36" s="89"/>
      <c r="AA36" s="89"/>
      <c r="AB36" s="89"/>
      <c r="AC36" s="89"/>
      <c r="AD36" s="89"/>
      <c r="AE36" s="89"/>
      <c r="AF36" s="89"/>
      <c r="AG36" s="89"/>
      <c r="AH36" s="89"/>
      <c r="AI36" s="93"/>
      <c r="AJ36" s="92"/>
      <c r="AK36" s="93"/>
      <c r="AL36" s="93"/>
      <c r="AM36" s="93"/>
      <c r="AN36" s="93"/>
      <c r="AO36" s="93"/>
      <c r="AP36" s="89" t="s">
        <v>52</v>
      </c>
      <c r="AQ36" s="90">
        <v>2021</v>
      </c>
      <c r="AR36" s="64">
        <v>0</v>
      </c>
      <c r="AS36" s="64">
        <v>0</v>
      </c>
      <c r="AT36" s="89">
        <v>0</v>
      </c>
      <c r="AU36" s="64">
        <v>0</v>
      </c>
      <c r="AV36">
        <v>0</v>
      </c>
      <c r="AW36" s="54">
        <v>0</v>
      </c>
      <c r="AX36" s="64">
        <v>0</v>
      </c>
      <c r="AY36" s="89"/>
      <c r="AZ36" s="64">
        <f t="shared" si="0"/>
        <v>0</v>
      </c>
      <c r="BA36" s="89" t="s">
        <v>206</v>
      </c>
    </row>
    <row r="37" spans="1:53" ht="14.25" customHeight="1" x14ac:dyDescent="0.3">
      <c r="A37" s="64" t="s">
        <v>127</v>
      </c>
      <c r="B37" s="69" t="s">
        <v>129</v>
      </c>
      <c r="C37" s="64">
        <v>885860</v>
      </c>
      <c r="D37" s="64">
        <v>34.299999999999997</v>
      </c>
      <c r="E37" s="64">
        <v>127392</v>
      </c>
      <c r="F37" s="64">
        <v>128268</v>
      </c>
      <c r="G37" s="64">
        <v>51590</v>
      </c>
      <c r="H37" s="64">
        <v>8527</v>
      </c>
      <c r="I37" s="64">
        <v>32908535400</v>
      </c>
      <c r="J37" s="64">
        <v>66219</v>
      </c>
      <c r="K37" s="64">
        <v>37680</v>
      </c>
      <c r="L37" s="64">
        <v>362961</v>
      </c>
      <c r="M37" s="64">
        <v>2.4</v>
      </c>
      <c r="N37" s="64">
        <v>137526</v>
      </c>
      <c r="O37" s="64">
        <v>24025</v>
      </c>
      <c r="P37" s="64">
        <v>472847</v>
      </c>
      <c r="Q37" s="73">
        <v>3</v>
      </c>
      <c r="R37" s="73">
        <v>11</v>
      </c>
      <c r="S37" s="73">
        <v>14</v>
      </c>
      <c r="T37" s="73">
        <v>28</v>
      </c>
      <c r="U37" s="56">
        <v>4.2728999999999999</v>
      </c>
      <c r="V37" s="56">
        <v>-0.39689999999999998</v>
      </c>
      <c r="W37" s="56">
        <v>0.74650000000000005</v>
      </c>
      <c r="X37" s="56">
        <v>3631.28</v>
      </c>
      <c r="Y37" s="56">
        <v>0.28949999999999998</v>
      </c>
      <c r="Z37" s="56">
        <v>0.21990000000000001</v>
      </c>
      <c r="AA37" s="56">
        <v>3.49E-2</v>
      </c>
      <c r="AB37" s="56">
        <v>8.8099999999999998E-2</v>
      </c>
      <c r="AC37" s="56">
        <v>0.52</v>
      </c>
      <c r="AD37" s="56">
        <v>1566.7</v>
      </c>
      <c r="AE37" s="56">
        <v>1.2776000000000001</v>
      </c>
      <c r="AF37" s="56">
        <v>0.39950000000000002</v>
      </c>
      <c r="AG37" s="56">
        <v>0.84799999999999998</v>
      </c>
      <c r="AH37" s="56">
        <v>1.1792</v>
      </c>
      <c r="AI37" s="58">
        <v>819676</v>
      </c>
      <c r="AJ37" s="58">
        <v>376843</v>
      </c>
      <c r="AK37" s="58">
        <v>353090</v>
      </c>
      <c r="AL37" s="58">
        <v>776609</v>
      </c>
      <c r="AM37" s="58">
        <v>556742</v>
      </c>
      <c r="AN37" s="58">
        <v>136601</v>
      </c>
      <c r="AO37" s="58">
        <v>2120388</v>
      </c>
      <c r="AP37" s="64" t="s">
        <v>59</v>
      </c>
      <c r="AQ37" s="69">
        <v>2024</v>
      </c>
      <c r="AR37" s="64">
        <v>0</v>
      </c>
      <c r="AS37" s="64">
        <v>0</v>
      </c>
      <c r="AT37" s="64">
        <v>1</v>
      </c>
      <c r="AU37" s="64">
        <v>0</v>
      </c>
      <c r="AV37">
        <v>1</v>
      </c>
      <c r="AW37" s="54">
        <v>0</v>
      </c>
      <c r="AX37" s="64">
        <v>0</v>
      </c>
      <c r="AY37" s="64"/>
      <c r="AZ37" s="64">
        <f t="shared" si="0"/>
        <v>2</v>
      </c>
      <c r="BA37" s="64" t="s">
        <v>205</v>
      </c>
    </row>
    <row r="38" spans="1:53" s="94" customFormat="1" ht="14.25" customHeight="1" x14ac:dyDescent="0.3">
      <c r="A38" s="89" t="s">
        <v>120</v>
      </c>
      <c r="B38" s="90" t="s">
        <v>129</v>
      </c>
      <c r="C38" s="89">
        <v>22449</v>
      </c>
      <c r="D38" s="89">
        <v>34.6</v>
      </c>
      <c r="E38" s="89">
        <v>4825</v>
      </c>
      <c r="F38" s="89">
        <v>2156</v>
      </c>
      <c r="G38" s="89">
        <v>596</v>
      </c>
      <c r="H38" s="89">
        <v>70</v>
      </c>
      <c r="I38" s="89">
        <v>678318900</v>
      </c>
      <c r="J38" s="89">
        <v>59307</v>
      </c>
      <c r="K38" s="89">
        <v>30823</v>
      </c>
      <c r="L38" s="89">
        <v>8951</v>
      </c>
      <c r="M38" s="89">
        <v>2.44</v>
      </c>
      <c r="N38" s="89">
        <v>3571</v>
      </c>
      <c r="O38" s="89">
        <v>376</v>
      </c>
      <c r="P38" s="89">
        <v>10727</v>
      </c>
      <c r="Q38" s="91">
        <v>4</v>
      </c>
      <c r="R38" s="91">
        <v>6</v>
      </c>
      <c r="S38" s="91">
        <v>7</v>
      </c>
      <c r="T38" s="91">
        <v>17</v>
      </c>
      <c r="U38" s="89"/>
      <c r="V38" s="89"/>
      <c r="W38" s="89"/>
      <c r="X38" s="89"/>
      <c r="Y38" s="89"/>
      <c r="Z38" s="89"/>
      <c r="AA38" s="89"/>
      <c r="AB38" s="89"/>
      <c r="AC38" s="89"/>
      <c r="AD38" s="89"/>
      <c r="AE38" s="89"/>
      <c r="AF38" s="89"/>
      <c r="AG38" s="89"/>
      <c r="AH38" s="89"/>
      <c r="AI38" s="93"/>
      <c r="AJ38" s="92"/>
      <c r="AK38" s="93"/>
      <c r="AL38" s="93"/>
      <c r="AM38" s="93"/>
      <c r="AN38" s="93"/>
      <c r="AO38" s="93"/>
      <c r="AP38" s="89" t="s">
        <v>59</v>
      </c>
      <c r="AQ38" s="90">
        <v>2020</v>
      </c>
      <c r="AR38" s="64">
        <v>0</v>
      </c>
      <c r="AS38" s="64">
        <v>0</v>
      </c>
      <c r="AT38" s="89"/>
      <c r="AU38" s="64">
        <v>0</v>
      </c>
      <c r="AV38">
        <v>0</v>
      </c>
      <c r="AW38" s="54">
        <v>0</v>
      </c>
      <c r="AX38" s="64">
        <v>0</v>
      </c>
      <c r="AY38" s="89"/>
      <c r="AZ38" s="64">
        <f t="shared" si="0"/>
        <v>0</v>
      </c>
      <c r="BA38" s="89" t="s">
        <v>206</v>
      </c>
    </row>
    <row r="39" spans="1:53" ht="14.25" customHeight="1" x14ac:dyDescent="0.3">
      <c r="A39" s="64" t="s">
        <v>121</v>
      </c>
      <c r="B39" s="69" t="s">
        <v>129</v>
      </c>
      <c r="C39" s="64">
        <v>31814</v>
      </c>
      <c r="D39" s="64">
        <v>38.799999999999997</v>
      </c>
      <c r="E39" s="64">
        <v>6835</v>
      </c>
      <c r="F39" s="64">
        <v>3047</v>
      </c>
      <c r="G39" s="64">
        <v>1200</v>
      </c>
      <c r="H39" s="64">
        <v>194</v>
      </c>
      <c r="I39" s="64">
        <v>921321600</v>
      </c>
      <c r="J39" s="64">
        <v>53089</v>
      </c>
      <c r="K39" s="64">
        <v>29810</v>
      </c>
      <c r="L39" s="64">
        <v>13008</v>
      </c>
      <c r="M39" s="64">
        <v>2.23</v>
      </c>
      <c r="N39" s="64">
        <v>5707</v>
      </c>
      <c r="O39" s="64">
        <v>1261</v>
      </c>
      <c r="P39" s="64">
        <v>13890</v>
      </c>
      <c r="Q39" s="73">
        <v>4</v>
      </c>
      <c r="R39" s="73">
        <v>14</v>
      </c>
      <c r="S39" s="73">
        <v>14</v>
      </c>
      <c r="T39" s="73">
        <v>32</v>
      </c>
      <c r="U39" s="56">
        <v>13.374499999999999</v>
      </c>
      <c r="V39" s="57">
        <v>0</v>
      </c>
      <c r="W39" s="57">
        <v>0</v>
      </c>
      <c r="X39" s="56">
        <v>756.99</v>
      </c>
      <c r="Y39" s="56">
        <v>7.51E-2</v>
      </c>
      <c r="Z39" s="57">
        <v>0</v>
      </c>
      <c r="AA39" s="57">
        <v>0</v>
      </c>
      <c r="AB39" s="57">
        <v>0</v>
      </c>
      <c r="AC39" s="57">
        <v>0</v>
      </c>
      <c r="AD39" s="57">
        <v>0</v>
      </c>
      <c r="AE39" s="57">
        <v>0</v>
      </c>
      <c r="AF39" s="57">
        <v>0</v>
      </c>
      <c r="AG39" s="57">
        <v>0</v>
      </c>
      <c r="AH39" s="57">
        <v>0</v>
      </c>
      <c r="AI39" s="58">
        <v>32676963</v>
      </c>
      <c r="AJ39" s="58">
        <v>35165587</v>
      </c>
      <c r="AK39" s="58">
        <v>2860000</v>
      </c>
      <c r="AL39" s="58">
        <v>21633000</v>
      </c>
      <c r="AM39" s="57">
        <v>0</v>
      </c>
      <c r="AN39" s="57">
        <v>0</v>
      </c>
      <c r="AO39" s="58">
        <v>29061209</v>
      </c>
      <c r="AP39" s="64" t="s">
        <v>52</v>
      </c>
      <c r="AQ39" s="69">
        <v>2024</v>
      </c>
      <c r="AR39" s="64">
        <v>0</v>
      </c>
      <c r="AS39" s="64">
        <v>0</v>
      </c>
      <c r="AT39" s="64">
        <v>0</v>
      </c>
      <c r="AU39" s="64">
        <v>0</v>
      </c>
      <c r="AV39">
        <v>1</v>
      </c>
      <c r="AW39" s="54">
        <v>0</v>
      </c>
      <c r="AX39" s="64">
        <v>0</v>
      </c>
      <c r="AY39" s="64"/>
      <c r="AZ39" s="64">
        <f t="shared" si="0"/>
        <v>1</v>
      </c>
      <c r="BA39" s="64" t="s">
        <v>206</v>
      </c>
    </row>
    <row r="40" spans="1:53" s="94" customFormat="1" ht="14.25" customHeight="1" x14ac:dyDescent="0.3">
      <c r="A40" s="89" t="s">
        <v>122</v>
      </c>
      <c r="B40" s="90" t="s">
        <v>129</v>
      </c>
      <c r="C40" s="89">
        <v>64751</v>
      </c>
      <c r="D40" s="89">
        <v>29.7</v>
      </c>
      <c r="E40" s="89">
        <v>9503</v>
      </c>
      <c r="F40" s="89">
        <v>5512</v>
      </c>
      <c r="G40" s="89">
        <v>2985</v>
      </c>
      <c r="H40" s="89">
        <v>781</v>
      </c>
      <c r="I40" s="89">
        <v>1571160200</v>
      </c>
      <c r="J40" s="89">
        <v>44471</v>
      </c>
      <c r="K40" s="89">
        <v>25281</v>
      </c>
      <c r="L40" s="89">
        <v>26479</v>
      </c>
      <c r="M40" s="89">
        <v>2.16</v>
      </c>
      <c r="N40" s="89">
        <v>16762</v>
      </c>
      <c r="O40" s="89">
        <v>2524</v>
      </c>
      <c r="P40" s="89">
        <v>32546</v>
      </c>
      <c r="Q40" s="91">
        <v>3</v>
      </c>
      <c r="R40" s="91">
        <v>4</v>
      </c>
      <c r="S40" s="91">
        <v>12</v>
      </c>
      <c r="T40" s="91">
        <v>19</v>
      </c>
      <c r="U40" s="89"/>
      <c r="V40" s="89"/>
      <c r="W40" s="89"/>
      <c r="X40" s="89"/>
      <c r="Y40" s="89"/>
      <c r="Z40" s="89"/>
      <c r="AA40" s="89"/>
      <c r="AB40" s="89"/>
      <c r="AC40" s="89"/>
      <c r="AD40" s="89"/>
      <c r="AE40" s="89"/>
      <c r="AF40" s="89"/>
      <c r="AG40" s="89"/>
      <c r="AH40" s="89"/>
      <c r="AI40" s="93"/>
      <c r="AJ40" s="92"/>
      <c r="AK40" s="93"/>
      <c r="AL40" s="93"/>
      <c r="AM40" s="93"/>
      <c r="AN40" s="93"/>
      <c r="AO40" s="93"/>
      <c r="AP40" s="89" t="s">
        <v>52</v>
      </c>
      <c r="AQ40" s="90">
        <v>2022</v>
      </c>
      <c r="AR40" s="64">
        <v>0</v>
      </c>
      <c r="AS40" s="64">
        <v>0</v>
      </c>
      <c r="AT40" s="89">
        <v>0</v>
      </c>
      <c r="AU40" s="64">
        <v>0</v>
      </c>
      <c r="AV40">
        <v>0</v>
      </c>
      <c r="AW40" s="54">
        <v>0</v>
      </c>
      <c r="AX40" s="64">
        <v>0</v>
      </c>
      <c r="AY40" s="89"/>
      <c r="AZ40" s="64">
        <f t="shared" si="0"/>
        <v>0</v>
      </c>
      <c r="BA40" s="89" t="s">
        <v>207</v>
      </c>
    </row>
    <row r="41" spans="1:53" s="94" customFormat="1" ht="14.25" customHeight="1" x14ac:dyDescent="0.3">
      <c r="A41" s="89" t="s">
        <v>123</v>
      </c>
      <c r="B41" s="90" t="s">
        <v>129</v>
      </c>
      <c r="C41" s="89">
        <v>17367</v>
      </c>
      <c r="D41" s="89">
        <v>41.2</v>
      </c>
      <c r="E41" s="89">
        <v>4165</v>
      </c>
      <c r="F41" s="89">
        <v>1084</v>
      </c>
      <c r="G41" s="89">
        <v>441</v>
      </c>
      <c r="H41" s="89">
        <v>34</v>
      </c>
      <c r="I41" s="89">
        <v>462015900</v>
      </c>
      <c r="J41" s="89">
        <v>51606</v>
      </c>
      <c r="K41" s="89">
        <v>28155</v>
      </c>
      <c r="L41" s="89">
        <v>7188</v>
      </c>
      <c r="M41" s="89">
        <v>2.36</v>
      </c>
      <c r="N41" s="89">
        <v>3423</v>
      </c>
      <c r="O41" s="89">
        <v>398</v>
      </c>
      <c r="P41" s="89">
        <v>8142</v>
      </c>
      <c r="Q41" s="91">
        <v>3</v>
      </c>
      <c r="R41" s="91">
        <v>7</v>
      </c>
      <c r="S41" s="91">
        <v>5</v>
      </c>
      <c r="T41" s="91">
        <v>15</v>
      </c>
      <c r="U41" s="89"/>
      <c r="V41" s="89"/>
      <c r="W41" s="89"/>
      <c r="X41" s="89"/>
      <c r="Y41" s="89"/>
      <c r="Z41" s="89"/>
      <c r="AA41" s="89"/>
      <c r="AB41" s="89"/>
      <c r="AC41" s="89"/>
      <c r="AD41" s="89"/>
      <c r="AE41" s="89"/>
      <c r="AF41" s="89"/>
      <c r="AG41" s="89"/>
      <c r="AH41" s="89"/>
      <c r="AI41" s="93"/>
      <c r="AJ41" s="92"/>
      <c r="AK41" s="93"/>
      <c r="AL41" s="93"/>
      <c r="AM41" s="93"/>
      <c r="AN41" s="93"/>
      <c r="AO41" s="93"/>
      <c r="AP41" s="89" t="s">
        <v>52</v>
      </c>
      <c r="AQ41" s="90">
        <v>2021</v>
      </c>
      <c r="AR41" s="64">
        <v>0</v>
      </c>
      <c r="AS41" s="64">
        <v>0</v>
      </c>
      <c r="AT41" s="64">
        <v>0</v>
      </c>
      <c r="AU41" s="64">
        <v>0</v>
      </c>
      <c r="AV41">
        <v>0</v>
      </c>
      <c r="AW41" s="54">
        <v>0</v>
      </c>
      <c r="AX41" s="64">
        <v>0</v>
      </c>
      <c r="AY41" s="89"/>
      <c r="AZ41" s="64">
        <f t="shared" si="0"/>
        <v>0</v>
      </c>
      <c r="BA41" s="89" t="s">
        <v>206</v>
      </c>
    </row>
    <row r="42" spans="1:53" s="94" customFormat="1" ht="14.25" customHeight="1" x14ac:dyDescent="0.3">
      <c r="A42" s="89" t="s">
        <v>124</v>
      </c>
      <c r="B42" s="90" t="s">
        <v>129</v>
      </c>
      <c r="C42" s="89">
        <v>35581</v>
      </c>
      <c r="D42" s="89">
        <v>38.6</v>
      </c>
      <c r="E42" s="89">
        <v>6461</v>
      </c>
      <c r="F42" s="89">
        <v>2805</v>
      </c>
      <c r="G42" s="89">
        <v>1218</v>
      </c>
      <c r="H42" s="89">
        <v>306</v>
      </c>
      <c r="I42" s="89">
        <v>993987100</v>
      </c>
      <c r="J42" s="89">
        <v>45399</v>
      </c>
      <c r="K42" s="89">
        <v>28724</v>
      </c>
      <c r="L42" s="89">
        <v>14849</v>
      </c>
      <c r="M42" s="89">
        <v>2.27</v>
      </c>
      <c r="N42" s="89">
        <v>8580</v>
      </c>
      <c r="O42" s="89">
        <v>1081</v>
      </c>
      <c r="P42" s="89">
        <v>15776</v>
      </c>
      <c r="Q42" s="91">
        <v>8</v>
      </c>
      <c r="R42" s="91">
        <v>13</v>
      </c>
      <c r="S42" s="91">
        <v>17</v>
      </c>
      <c r="T42" s="91">
        <v>38</v>
      </c>
      <c r="U42" s="89"/>
      <c r="V42" s="89"/>
      <c r="W42" s="89"/>
      <c r="X42" s="89"/>
      <c r="Y42" s="89"/>
      <c r="Z42" s="89"/>
      <c r="AA42" s="89"/>
      <c r="AB42" s="89"/>
      <c r="AC42" s="89"/>
      <c r="AD42" s="89"/>
      <c r="AE42" s="89"/>
      <c r="AF42" s="89"/>
      <c r="AG42" s="89"/>
      <c r="AH42" s="89"/>
      <c r="AI42" s="93"/>
      <c r="AJ42" s="92"/>
      <c r="AK42" s="93"/>
      <c r="AL42" s="93"/>
      <c r="AM42" s="93"/>
      <c r="AN42" s="93"/>
      <c r="AO42" s="93"/>
      <c r="AP42" s="89" t="s">
        <v>52</v>
      </c>
      <c r="AQ42" s="90">
        <v>2022</v>
      </c>
      <c r="AR42" s="64">
        <v>0</v>
      </c>
      <c r="AS42" s="64">
        <v>0</v>
      </c>
      <c r="AT42" s="64">
        <v>0</v>
      </c>
      <c r="AU42" s="64">
        <v>0</v>
      </c>
      <c r="AV42">
        <v>1</v>
      </c>
      <c r="AW42" s="54">
        <v>0</v>
      </c>
      <c r="AX42" s="64">
        <v>0</v>
      </c>
      <c r="AY42" s="89"/>
      <c r="AZ42" s="64">
        <f t="shared" si="0"/>
        <v>1</v>
      </c>
      <c r="BA42" s="89" t="s">
        <v>205</v>
      </c>
    </row>
    <row r="43" spans="1:53" ht="14.25" customHeight="1" x14ac:dyDescent="0.3">
      <c r="A43" s="64" t="s">
        <v>125</v>
      </c>
      <c r="B43" s="69" t="s">
        <v>129</v>
      </c>
      <c r="C43" s="64">
        <v>58427</v>
      </c>
      <c r="D43" s="64">
        <v>32.9</v>
      </c>
      <c r="E43" s="64">
        <v>9711</v>
      </c>
      <c r="F43" s="64">
        <v>5304</v>
      </c>
      <c r="G43" s="64">
        <v>2297</v>
      </c>
      <c r="H43" s="64">
        <v>885</v>
      </c>
      <c r="I43" s="64">
        <v>1396202500</v>
      </c>
      <c r="J43" s="64">
        <v>43126</v>
      </c>
      <c r="K43" s="64">
        <v>25369</v>
      </c>
      <c r="L43" s="64">
        <v>23220</v>
      </c>
      <c r="M43" s="64">
        <v>2.23</v>
      </c>
      <c r="N43" s="64">
        <v>12748</v>
      </c>
      <c r="O43" s="64">
        <v>1786</v>
      </c>
      <c r="P43" s="64">
        <v>26023</v>
      </c>
      <c r="Q43" s="73">
        <v>5</v>
      </c>
      <c r="R43" s="73">
        <v>16</v>
      </c>
      <c r="S43" s="73">
        <v>11</v>
      </c>
      <c r="T43" s="73">
        <v>32</v>
      </c>
      <c r="U43" s="56">
        <v>12.541499999999999</v>
      </c>
      <c r="V43" s="57">
        <v>0</v>
      </c>
      <c r="W43" s="57">
        <v>0</v>
      </c>
      <c r="X43" s="56">
        <v>49.3</v>
      </c>
      <c r="Y43" s="57">
        <v>0</v>
      </c>
      <c r="Z43" s="57">
        <v>0</v>
      </c>
      <c r="AA43" s="57">
        <v>0</v>
      </c>
      <c r="AB43" s="57">
        <v>0</v>
      </c>
      <c r="AC43" s="57">
        <v>0</v>
      </c>
      <c r="AD43" s="57">
        <v>0</v>
      </c>
      <c r="AE43" s="57">
        <v>0</v>
      </c>
      <c r="AF43" s="57">
        <v>0</v>
      </c>
      <c r="AG43" s="57">
        <v>0</v>
      </c>
      <c r="AH43" s="57">
        <v>0</v>
      </c>
      <c r="AI43" s="58">
        <v>2310339</v>
      </c>
      <c r="AJ43" s="58">
        <v>1332801</v>
      </c>
      <c r="AK43" s="57">
        <v>0</v>
      </c>
      <c r="AL43" s="57">
        <v>0</v>
      </c>
      <c r="AM43" s="57">
        <v>0</v>
      </c>
      <c r="AN43" s="57">
        <v>0</v>
      </c>
      <c r="AO43" s="58">
        <v>3178848</v>
      </c>
      <c r="AP43" s="64" t="s">
        <v>59</v>
      </c>
      <c r="AQ43" s="69">
        <v>2024</v>
      </c>
      <c r="AR43" s="64">
        <v>0</v>
      </c>
      <c r="AS43" s="64">
        <v>0</v>
      </c>
      <c r="AT43" s="64">
        <v>0</v>
      </c>
      <c r="AU43" s="64">
        <v>0</v>
      </c>
      <c r="AV43">
        <v>0</v>
      </c>
      <c r="AW43">
        <v>0</v>
      </c>
      <c r="AX43" s="64">
        <v>0</v>
      </c>
      <c r="AY43" s="64"/>
      <c r="AZ43" s="64">
        <f t="shared" si="0"/>
        <v>0</v>
      </c>
      <c r="BA43" s="64" t="s">
        <v>205</v>
      </c>
    </row>
    <row r="44" spans="1:53" ht="14.25" customHeight="1" x14ac:dyDescent="0.3">
      <c r="A44" s="64" t="s">
        <v>126</v>
      </c>
      <c r="B44" s="69" t="s">
        <v>129</v>
      </c>
      <c r="C44" s="64">
        <v>32095</v>
      </c>
      <c r="D44" s="64">
        <v>42.1</v>
      </c>
      <c r="E44" s="64">
        <v>2057</v>
      </c>
      <c r="F44" s="64">
        <v>8589</v>
      </c>
      <c r="G44" s="64">
        <v>4401</v>
      </c>
      <c r="H44" s="64">
        <v>963</v>
      </c>
      <c r="I44" s="64">
        <v>2652042900</v>
      </c>
      <c r="J44" s="64">
        <v>172024</v>
      </c>
      <c r="K44" s="64">
        <v>82476</v>
      </c>
      <c r="L44" s="64">
        <v>11822</v>
      </c>
      <c r="M44" s="64">
        <v>2.7</v>
      </c>
      <c r="N44" s="64">
        <v>993</v>
      </c>
      <c r="O44" s="64">
        <v>460</v>
      </c>
      <c r="P44" s="64">
        <v>16510</v>
      </c>
      <c r="Q44" s="73">
        <v>5</v>
      </c>
      <c r="R44" s="73">
        <v>13</v>
      </c>
      <c r="S44" s="73">
        <v>10</v>
      </c>
      <c r="T44" s="73">
        <v>28</v>
      </c>
      <c r="U44" s="56">
        <v>12.6449</v>
      </c>
      <c r="V44" s="57">
        <v>0</v>
      </c>
      <c r="W44" s="57">
        <v>0</v>
      </c>
      <c r="X44" s="56">
        <v>1309.3</v>
      </c>
      <c r="Y44" s="56">
        <v>3.1800000000000002E-2</v>
      </c>
      <c r="Z44" s="57">
        <v>0</v>
      </c>
      <c r="AA44" s="57">
        <v>0</v>
      </c>
      <c r="AB44" s="57">
        <v>0</v>
      </c>
      <c r="AC44" s="57">
        <v>0</v>
      </c>
      <c r="AD44" s="56">
        <v>3283.9</v>
      </c>
      <c r="AE44" s="57">
        <v>0</v>
      </c>
      <c r="AF44" s="57">
        <v>0</v>
      </c>
      <c r="AG44" s="57">
        <v>0</v>
      </c>
      <c r="AH44" s="57">
        <v>0</v>
      </c>
      <c r="AI44" s="58">
        <v>30547567</v>
      </c>
      <c r="AJ44" s="58">
        <v>3581506</v>
      </c>
      <c r="AK44" s="58">
        <v>18890000</v>
      </c>
      <c r="AL44" s="58">
        <v>12081000</v>
      </c>
      <c r="AM44" s="57"/>
      <c r="AN44" s="57"/>
      <c r="AO44" s="58">
        <v>40067281</v>
      </c>
      <c r="AP44" s="64" t="s">
        <v>52</v>
      </c>
      <c r="AQ44" s="69">
        <v>2020</v>
      </c>
      <c r="AR44" s="64">
        <v>0</v>
      </c>
      <c r="AS44" s="64">
        <v>0</v>
      </c>
      <c r="AT44" s="64">
        <v>0</v>
      </c>
      <c r="AU44" s="64">
        <v>0</v>
      </c>
      <c r="AV44">
        <v>0</v>
      </c>
      <c r="AW44">
        <v>0</v>
      </c>
      <c r="AX44" s="64">
        <v>0</v>
      </c>
      <c r="AY44" s="64"/>
      <c r="AZ44" s="64">
        <f t="shared" si="0"/>
        <v>0</v>
      </c>
      <c r="BA44" s="64" t="s">
        <v>207</v>
      </c>
    </row>
    <row r="45" spans="1:53" ht="14.25" customHeight="1" x14ac:dyDescent="0.3">
      <c r="A45" s="53" t="s">
        <v>130</v>
      </c>
      <c r="B45" s="69" t="s">
        <v>135</v>
      </c>
      <c r="C45" s="64">
        <v>67669</v>
      </c>
      <c r="D45" s="64">
        <v>23.3</v>
      </c>
      <c r="E45" s="64">
        <v>3199</v>
      </c>
      <c r="F45" s="64">
        <v>10398</v>
      </c>
      <c r="G45" s="64">
        <v>5315</v>
      </c>
      <c r="H45" s="64">
        <v>3245</v>
      </c>
      <c r="I45" s="64">
        <v>2217990600</v>
      </c>
      <c r="J45" s="64">
        <v>60991</v>
      </c>
      <c r="K45" s="64">
        <v>34343</v>
      </c>
      <c r="L45" s="64">
        <v>25785</v>
      </c>
      <c r="M45" s="64">
        <v>2.14</v>
      </c>
      <c r="N45" s="64">
        <v>14053</v>
      </c>
      <c r="O45" s="64">
        <v>2364</v>
      </c>
      <c r="P45" s="64">
        <v>40498</v>
      </c>
      <c r="Q45" s="73">
        <v>5</v>
      </c>
      <c r="R45" s="73">
        <v>12</v>
      </c>
      <c r="S45" s="73">
        <v>13</v>
      </c>
      <c r="T45" s="73">
        <v>30</v>
      </c>
      <c r="U45" s="56">
        <v>6.2275</v>
      </c>
      <c r="V45" s="56">
        <v>1.4066000000000001</v>
      </c>
      <c r="W45" s="56">
        <v>0.13489999999999999</v>
      </c>
      <c r="X45" s="56">
        <v>3100.39</v>
      </c>
      <c r="Y45" s="56">
        <v>3.8E-3</v>
      </c>
      <c r="Z45" s="56">
        <v>0.20430000000000001</v>
      </c>
      <c r="AA45" s="56">
        <v>1.0999999999999999E-2</v>
      </c>
      <c r="AB45" s="56">
        <v>9.7000000000000003E-3</v>
      </c>
      <c r="AC45" s="56">
        <v>0.47910000000000003</v>
      </c>
      <c r="AD45" s="56">
        <v>9753.7800000000007</v>
      </c>
      <c r="AE45" s="56">
        <v>0.45429999999999998</v>
      </c>
      <c r="AF45" s="56">
        <v>3.3099999999999997E-2</v>
      </c>
      <c r="AG45" s="56">
        <v>0.24229999999999999</v>
      </c>
      <c r="AH45" s="56">
        <v>4.1269</v>
      </c>
      <c r="AI45" s="58">
        <v>50950646</v>
      </c>
      <c r="AJ45" s="58">
        <v>18144099</v>
      </c>
      <c r="AK45" s="58">
        <v>73084244</v>
      </c>
      <c r="AL45" s="58">
        <v>86801547</v>
      </c>
      <c r="AM45" s="58">
        <v>66806214</v>
      </c>
      <c r="AN45" s="58">
        <v>37631695</v>
      </c>
      <c r="AO45" s="58">
        <v>226692005</v>
      </c>
      <c r="AP45" s="64" t="s">
        <v>59</v>
      </c>
      <c r="AQ45" s="69">
        <v>2022</v>
      </c>
      <c r="AR45" s="64">
        <v>0</v>
      </c>
      <c r="AS45" s="64">
        <v>0</v>
      </c>
      <c r="AT45" s="64">
        <v>0</v>
      </c>
      <c r="AU45" s="64">
        <v>0</v>
      </c>
      <c r="AV45">
        <v>1</v>
      </c>
      <c r="AW45">
        <v>0</v>
      </c>
      <c r="AX45" s="64">
        <v>0</v>
      </c>
      <c r="AY45" s="64"/>
      <c r="AZ45" s="64">
        <f t="shared" si="0"/>
        <v>1</v>
      </c>
      <c r="BA45" s="64" t="s">
        <v>205</v>
      </c>
    </row>
    <row r="46" spans="1:53" ht="14.25" customHeight="1" x14ac:dyDescent="0.3">
      <c r="A46" s="53" t="s">
        <v>131</v>
      </c>
      <c r="B46" s="69" t="s">
        <v>135</v>
      </c>
      <c r="C46" s="64">
        <v>137264</v>
      </c>
      <c r="D46" s="64">
        <v>37.299999999999997</v>
      </c>
      <c r="E46" s="64">
        <v>21255</v>
      </c>
      <c r="F46" s="64">
        <v>20875</v>
      </c>
      <c r="G46" s="64">
        <v>7553</v>
      </c>
      <c r="H46" s="64">
        <v>661</v>
      </c>
      <c r="I46" s="64">
        <v>5565475300</v>
      </c>
      <c r="J46" s="64">
        <v>70424</v>
      </c>
      <c r="K46" s="64">
        <v>41256</v>
      </c>
      <c r="L46" s="64">
        <v>59351</v>
      </c>
      <c r="M46" s="64">
        <v>2.25</v>
      </c>
      <c r="N46" s="64">
        <v>14496</v>
      </c>
      <c r="O46" s="64">
        <v>2779</v>
      </c>
      <c r="P46" s="64">
        <v>76861</v>
      </c>
      <c r="Q46" s="73">
        <v>6</v>
      </c>
      <c r="R46" s="73">
        <v>8</v>
      </c>
      <c r="S46" s="73">
        <v>15</v>
      </c>
      <c r="T46" s="73">
        <v>29</v>
      </c>
      <c r="U46" s="56">
        <v>11.472300000000001</v>
      </c>
      <c r="V46" s="56">
        <v>0.71350000000000002</v>
      </c>
      <c r="W46" s="56">
        <v>0.20699999999999999</v>
      </c>
      <c r="X46" s="56">
        <v>4268.22</v>
      </c>
      <c r="Y46" s="56">
        <v>2.29E-2</v>
      </c>
      <c r="Z46" s="56">
        <v>0.10199999999999999</v>
      </c>
      <c r="AA46" s="56">
        <v>8.3000000000000001E-3</v>
      </c>
      <c r="AB46" s="56">
        <v>1.7299999999999999E-2</v>
      </c>
      <c r="AC46" s="56">
        <v>0.69279999999999997</v>
      </c>
      <c r="AD46" s="56">
        <v>11636</v>
      </c>
      <c r="AE46" s="56">
        <v>0.77810000000000001</v>
      </c>
      <c r="AF46" s="56">
        <v>5.11E-2</v>
      </c>
      <c r="AG46" s="56">
        <v>0.3165</v>
      </c>
      <c r="AH46" s="56">
        <v>3.16</v>
      </c>
      <c r="AI46" s="58">
        <v>185992546</v>
      </c>
      <c r="AJ46" s="58">
        <v>90169811</v>
      </c>
      <c r="AK46" s="58">
        <v>396900000</v>
      </c>
      <c r="AL46" s="58">
        <v>144000000</v>
      </c>
      <c r="AM46" s="58">
        <v>55200000</v>
      </c>
      <c r="AN46" s="58">
        <v>232229095</v>
      </c>
      <c r="AO46" s="58">
        <v>596100000</v>
      </c>
      <c r="AP46" s="64" t="s">
        <v>52</v>
      </c>
      <c r="AQ46" s="69">
        <v>2021</v>
      </c>
      <c r="AR46" s="64">
        <v>0</v>
      </c>
      <c r="AS46" s="64">
        <v>0</v>
      </c>
      <c r="AT46" s="64">
        <v>0</v>
      </c>
      <c r="AU46" s="64">
        <v>0</v>
      </c>
      <c r="AV46">
        <v>1</v>
      </c>
      <c r="AW46">
        <v>0</v>
      </c>
      <c r="AX46" s="64">
        <v>0</v>
      </c>
      <c r="AY46" s="64"/>
      <c r="AZ46" s="64">
        <f t="shared" si="0"/>
        <v>1</v>
      </c>
      <c r="BA46" s="64" t="s">
        <v>206</v>
      </c>
    </row>
    <row r="47" spans="1:53" ht="14.25" customHeight="1" x14ac:dyDescent="0.3">
      <c r="A47" s="53" t="s">
        <v>132</v>
      </c>
      <c r="B47" s="69" t="s">
        <v>135</v>
      </c>
      <c r="C47" s="64">
        <v>59174</v>
      </c>
      <c r="D47" s="64">
        <v>38.1</v>
      </c>
      <c r="E47" s="64">
        <v>11074</v>
      </c>
      <c r="F47" s="64">
        <v>8777</v>
      </c>
      <c r="G47" s="64">
        <v>3643</v>
      </c>
      <c r="H47" s="64">
        <v>574</v>
      </c>
      <c r="I47" s="64">
        <v>2267993000</v>
      </c>
      <c r="J47" s="64">
        <v>65845</v>
      </c>
      <c r="K47" s="64">
        <v>38244</v>
      </c>
      <c r="L47" s="64">
        <v>26131</v>
      </c>
      <c r="M47" s="64">
        <v>2.12</v>
      </c>
      <c r="N47" s="64">
        <v>7089</v>
      </c>
      <c r="O47" s="64">
        <v>1430</v>
      </c>
      <c r="P47" s="64">
        <v>31667</v>
      </c>
      <c r="Q47" s="73">
        <v>7</v>
      </c>
      <c r="R47" s="73">
        <v>13</v>
      </c>
      <c r="S47" s="73">
        <v>17</v>
      </c>
      <c r="T47" s="73">
        <v>37</v>
      </c>
      <c r="U47" s="56">
        <v>2.2513000000000001</v>
      </c>
      <c r="V47" s="56">
        <v>0.2235</v>
      </c>
      <c r="W47" s="56">
        <v>0.20230000000000001</v>
      </c>
      <c r="X47" s="56">
        <v>3724.15</v>
      </c>
      <c r="Y47" s="56">
        <v>3.6400000000000002E-2</v>
      </c>
      <c r="Z47" s="56">
        <v>0.14360000000000001</v>
      </c>
      <c r="AA47" s="56">
        <v>1.04E-2</v>
      </c>
      <c r="AB47" s="56">
        <v>1.8599999999999998E-2</v>
      </c>
      <c r="AC47" s="56">
        <v>0.51160000000000005</v>
      </c>
      <c r="AD47" s="56">
        <v>6470.58</v>
      </c>
      <c r="AE47" s="56">
        <v>0.89129999999999998</v>
      </c>
      <c r="AF47" s="56">
        <v>5.5500000000000001E-2</v>
      </c>
      <c r="AG47" s="56">
        <v>0.2863</v>
      </c>
      <c r="AH47" s="56">
        <v>3.4933000000000001</v>
      </c>
      <c r="AI47" s="58">
        <v>70520906</v>
      </c>
      <c r="AJ47" s="58">
        <v>49702492</v>
      </c>
      <c r="AK47" s="58">
        <v>68932581</v>
      </c>
      <c r="AL47" s="58">
        <v>25160000</v>
      </c>
      <c r="AM47" s="57">
        <v>0</v>
      </c>
      <c r="AN47" s="58">
        <v>9900312</v>
      </c>
      <c r="AO47" s="58">
        <v>218304463</v>
      </c>
      <c r="AP47" s="64" t="s">
        <v>59</v>
      </c>
      <c r="AQ47" s="69">
        <v>2020</v>
      </c>
      <c r="AR47" s="64">
        <v>0</v>
      </c>
      <c r="AS47" s="64">
        <v>0</v>
      </c>
      <c r="AT47" s="64">
        <v>1</v>
      </c>
      <c r="AU47" s="64">
        <v>0</v>
      </c>
      <c r="AV47">
        <v>1</v>
      </c>
      <c r="AW47">
        <v>1</v>
      </c>
      <c r="AX47" s="64">
        <v>0</v>
      </c>
      <c r="AY47" s="64"/>
      <c r="AZ47" s="64">
        <f t="shared" si="0"/>
        <v>3</v>
      </c>
      <c r="BA47" s="64" t="s">
        <v>205</v>
      </c>
    </row>
    <row r="48" spans="1:53" ht="14.25" customHeight="1" x14ac:dyDescent="0.3">
      <c r="A48" s="53" t="s">
        <v>133</v>
      </c>
      <c r="B48" s="69" t="s">
        <v>135</v>
      </c>
      <c r="C48" s="64">
        <v>46595</v>
      </c>
      <c r="D48" s="64">
        <v>39.200000000000003</v>
      </c>
      <c r="E48" s="64">
        <v>5324</v>
      </c>
      <c r="F48" s="64">
        <v>10580</v>
      </c>
      <c r="G48" s="64">
        <v>3670</v>
      </c>
      <c r="H48" s="64">
        <v>631</v>
      </c>
      <c r="I48" s="64">
        <v>2517382800</v>
      </c>
      <c r="J48" s="64">
        <v>112795</v>
      </c>
      <c r="K48" s="64">
        <v>54506</v>
      </c>
      <c r="L48" s="64">
        <v>17547</v>
      </c>
      <c r="M48" s="64">
        <v>2.64</v>
      </c>
      <c r="N48" s="64">
        <v>3143</v>
      </c>
      <c r="O48" s="64">
        <v>738</v>
      </c>
      <c r="P48" s="64">
        <v>25329</v>
      </c>
      <c r="Q48" s="73">
        <v>6</v>
      </c>
      <c r="R48" s="73">
        <v>11</v>
      </c>
      <c r="S48" s="73">
        <v>12</v>
      </c>
      <c r="T48" s="73">
        <v>29</v>
      </c>
      <c r="U48" s="56">
        <v>4.7332999999999998</v>
      </c>
      <c r="V48" s="56">
        <v>0.5151</v>
      </c>
      <c r="W48" s="56">
        <v>0.13850000000000001</v>
      </c>
      <c r="X48" s="56">
        <v>1515.68</v>
      </c>
      <c r="Y48" s="56">
        <v>0.35599999999999998</v>
      </c>
      <c r="Z48" s="56">
        <v>0.245</v>
      </c>
      <c r="AA48" s="56">
        <v>1.2500000000000001E-2</v>
      </c>
      <c r="AB48" s="56">
        <v>1.49E-2</v>
      </c>
      <c r="AC48" s="56">
        <v>0.63100000000000001</v>
      </c>
      <c r="AD48" s="56">
        <v>6182.06</v>
      </c>
      <c r="AE48" s="56">
        <v>0.74509999999999998</v>
      </c>
      <c r="AF48" s="56">
        <v>0.15129999999999999</v>
      </c>
      <c r="AG48" s="56">
        <v>0.17599999999999999</v>
      </c>
      <c r="AH48" s="56">
        <v>5.6809000000000003</v>
      </c>
      <c r="AI48" s="58">
        <v>63636537</v>
      </c>
      <c r="AJ48" s="58">
        <v>14092413</v>
      </c>
      <c r="AK48" s="58">
        <v>50245000</v>
      </c>
      <c r="AL48" s="57">
        <v>0</v>
      </c>
      <c r="AM48" s="57">
        <v>0</v>
      </c>
      <c r="AN48" s="58">
        <v>17466976</v>
      </c>
      <c r="AO48" s="58">
        <v>53667402</v>
      </c>
      <c r="AP48" s="64" t="s">
        <v>52</v>
      </c>
      <c r="AQ48" s="69">
        <v>2024</v>
      </c>
      <c r="AR48" s="64">
        <v>0</v>
      </c>
      <c r="AS48" s="64">
        <v>0</v>
      </c>
      <c r="AT48" s="64">
        <v>0</v>
      </c>
      <c r="AU48" s="64">
        <v>0</v>
      </c>
      <c r="AV48">
        <v>0</v>
      </c>
      <c r="AW48">
        <v>0</v>
      </c>
      <c r="AX48" s="64">
        <v>0</v>
      </c>
      <c r="AY48" s="64"/>
      <c r="AZ48" s="64">
        <f t="shared" si="0"/>
        <v>0</v>
      </c>
      <c r="BA48" s="64" t="s">
        <v>206</v>
      </c>
    </row>
    <row r="49" spans="1:53" s="38" customFormat="1" ht="14.25" customHeight="1" x14ac:dyDescent="0.3">
      <c r="A49" s="59" t="s">
        <v>134</v>
      </c>
      <c r="B49" s="85" t="s">
        <v>135</v>
      </c>
      <c r="C49" s="65">
        <v>29236</v>
      </c>
      <c r="D49" s="65">
        <v>34.700000000000003</v>
      </c>
      <c r="E49" s="65">
        <v>2100</v>
      </c>
      <c r="F49" s="65">
        <v>7747</v>
      </c>
      <c r="G49" s="65">
        <v>2760</v>
      </c>
      <c r="H49" s="65">
        <v>339</v>
      </c>
      <c r="I49" s="65">
        <v>1603477500</v>
      </c>
      <c r="J49" s="65">
        <v>101029</v>
      </c>
      <c r="K49" s="65">
        <v>55193</v>
      </c>
      <c r="L49" s="65">
        <v>11830</v>
      </c>
      <c r="M49" s="65">
        <v>2.46</v>
      </c>
      <c r="N49" s="65">
        <v>2156</v>
      </c>
      <c r="O49" s="65">
        <v>595</v>
      </c>
      <c r="P49" s="65">
        <v>16897</v>
      </c>
      <c r="Q49" s="86">
        <v>4</v>
      </c>
      <c r="R49" s="86">
        <v>13</v>
      </c>
      <c r="S49" s="86">
        <v>13</v>
      </c>
      <c r="T49" s="86">
        <v>30</v>
      </c>
      <c r="U49" s="60">
        <v>0</v>
      </c>
      <c r="V49" s="60">
        <v>0</v>
      </c>
      <c r="W49" s="60">
        <v>0</v>
      </c>
      <c r="X49" s="61">
        <v>5033.09</v>
      </c>
      <c r="Y49" s="61">
        <v>0.1206</v>
      </c>
      <c r="Z49" s="60">
        <v>0</v>
      </c>
      <c r="AA49" s="60">
        <v>0</v>
      </c>
      <c r="AB49" s="60">
        <v>0</v>
      </c>
      <c r="AC49" s="60">
        <v>0</v>
      </c>
      <c r="AD49" s="60">
        <v>0</v>
      </c>
      <c r="AE49" s="60">
        <v>0</v>
      </c>
      <c r="AF49" s="60">
        <v>0</v>
      </c>
      <c r="AG49" s="60">
        <v>0</v>
      </c>
      <c r="AH49" s="60">
        <v>0</v>
      </c>
      <c r="AI49" s="62">
        <v>42846718</v>
      </c>
      <c r="AJ49" s="62">
        <v>5808633</v>
      </c>
      <c r="AK49" s="62">
        <v>131865000</v>
      </c>
      <c r="AL49" s="62">
        <v>28301000</v>
      </c>
      <c r="AM49" s="60">
        <v>0</v>
      </c>
      <c r="AN49" s="60">
        <v>0</v>
      </c>
      <c r="AO49" s="62">
        <v>160166000</v>
      </c>
      <c r="AP49" s="65" t="s">
        <v>59</v>
      </c>
      <c r="AQ49" s="85">
        <v>2024</v>
      </c>
      <c r="AR49" s="64">
        <v>0</v>
      </c>
      <c r="AS49" s="64">
        <v>0</v>
      </c>
      <c r="AT49" s="65">
        <v>0</v>
      </c>
      <c r="AU49" s="64">
        <v>0</v>
      </c>
      <c r="AV49">
        <v>0</v>
      </c>
      <c r="AW49">
        <v>0</v>
      </c>
      <c r="AX49" s="64">
        <v>0</v>
      </c>
      <c r="AY49" s="65"/>
      <c r="AZ49" s="64">
        <f t="shared" si="0"/>
        <v>0</v>
      </c>
      <c r="BA49" s="64" t="s">
        <v>207</v>
      </c>
    </row>
    <row r="50" spans="1:53" ht="14.25" customHeight="1" x14ac:dyDescent="0.3">
      <c r="A50" s="64" t="s">
        <v>136</v>
      </c>
      <c r="B50" s="69" t="s">
        <v>159</v>
      </c>
      <c r="C50" s="64">
        <v>122036</v>
      </c>
      <c r="D50" s="64">
        <v>27.7</v>
      </c>
      <c r="E50" s="64">
        <v>4037</v>
      </c>
      <c r="F50" s="64">
        <v>20235</v>
      </c>
      <c r="G50" s="64">
        <v>18195</v>
      </c>
      <c r="H50" s="64">
        <v>7999</v>
      </c>
      <c r="I50" s="64">
        <v>6212809100</v>
      </c>
      <c r="J50" s="64">
        <v>82212</v>
      </c>
      <c r="K50" s="64">
        <v>55459</v>
      </c>
      <c r="L50" s="64">
        <v>50499</v>
      </c>
      <c r="M50" s="64">
        <v>2.19</v>
      </c>
      <c r="N50" s="64">
        <v>26473</v>
      </c>
      <c r="O50" s="64">
        <v>2572</v>
      </c>
      <c r="P50" s="64">
        <v>65177</v>
      </c>
      <c r="Q50" s="73">
        <v>7</v>
      </c>
      <c r="R50" s="73">
        <v>11</v>
      </c>
      <c r="S50" s="73">
        <v>14</v>
      </c>
      <c r="T50" s="73">
        <v>32</v>
      </c>
      <c r="U50" s="56">
        <v>4.8228999999999997</v>
      </c>
      <c r="V50" s="56">
        <v>0.85260000000000002</v>
      </c>
      <c r="W50" s="56">
        <v>0.12139999999999999</v>
      </c>
      <c r="X50" s="56">
        <v>2002.63</v>
      </c>
      <c r="Y50" s="56">
        <v>1.4999999999999999E-2</v>
      </c>
      <c r="Z50" s="56">
        <v>4.2200000000000001E-2</v>
      </c>
      <c r="AA50" s="56">
        <v>0.19009999999999999</v>
      </c>
      <c r="AB50" s="56">
        <v>0.29680000000000001</v>
      </c>
      <c r="AC50" s="56">
        <v>0.76359999999999995</v>
      </c>
      <c r="AD50" s="56">
        <v>6488.89</v>
      </c>
      <c r="AE50" s="56">
        <v>0.7923</v>
      </c>
      <c r="AF50" s="56">
        <v>9.2499999999999999E-2</v>
      </c>
      <c r="AG50" s="56">
        <v>0.1716</v>
      </c>
      <c r="AH50" s="56">
        <v>5.8289</v>
      </c>
      <c r="AI50" s="58">
        <v>143543549</v>
      </c>
      <c r="AJ50" s="58">
        <v>54617010</v>
      </c>
      <c r="AK50" s="58">
        <v>100075000</v>
      </c>
      <c r="AL50" s="58">
        <v>51640000</v>
      </c>
      <c r="AM50" s="57">
        <v>0</v>
      </c>
      <c r="AN50" s="58">
        <v>52100000</v>
      </c>
      <c r="AO50" s="58">
        <v>257197855</v>
      </c>
      <c r="AP50" s="64" t="s">
        <v>52</v>
      </c>
      <c r="AQ50" s="69">
        <v>2023</v>
      </c>
      <c r="AR50" s="64">
        <v>0</v>
      </c>
      <c r="AS50" s="64">
        <v>0</v>
      </c>
      <c r="AT50" s="64">
        <v>1</v>
      </c>
      <c r="AU50" s="64">
        <v>0</v>
      </c>
      <c r="AV50">
        <v>1</v>
      </c>
      <c r="AW50">
        <v>1</v>
      </c>
      <c r="AX50" s="64">
        <v>0</v>
      </c>
      <c r="AY50" s="64"/>
      <c r="AZ50" s="64">
        <f t="shared" si="0"/>
        <v>3</v>
      </c>
      <c r="BA50" s="64" t="s">
        <v>205</v>
      </c>
    </row>
    <row r="51" spans="1:53" ht="14.25" customHeight="1" x14ac:dyDescent="0.3">
      <c r="A51" s="64" t="s">
        <v>137</v>
      </c>
      <c r="B51" s="69" t="s">
        <v>159</v>
      </c>
      <c r="C51" s="64">
        <v>52374</v>
      </c>
      <c r="D51" s="64">
        <v>38</v>
      </c>
      <c r="E51" s="64">
        <v>10437</v>
      </c>
      <c r="F51" s="64">
        <v>5062</v>
      </c>
      <c r="G51" s="64">
        <v>1956</v>
      </c>
      <c r="H51" s="64">
        <v>236</v>
      </c>
      <c r="I51" s="64">
        <v>1540622300</v>
      </c>
      <c r="J51" s="64">
        <v>55693</v>
      </c>
      <c r="K51" s="64">
        <v>30455</v>
      </c>
      <c r="L51" s="64">
        <v>21128</v>
      </c>
      <c r="M51" s="64">
        <v>2.4300000000000002</v>
      </c>
      <c r="N51" s="64">
        <v>9065</v>
      </c>
      <c r="O51" s="64">
        <v>1775</v>
      </c>
      <c r="P51" s="64">
        <v>25222</v>
      </c>
      <c r="Q51" s="73">
        <v>5</v>
      </c>
      <c r="R51" s="73">
        <v>8</v>
      </c>
      <c r="S51" s="73">
        <v>8</v>
      </c>
      <c r="T51" s="73">
        <v>21</v>
      </c>
      <c r="U51" s="57">
        <v>0</v>
      </c>
      <c r="V51" s="56">
        <v>-0.68489999999999995</v>
      </c>
      <c r="W51" s="56">
        <v>0.1157</v>
      </c>
      <c r="X51" s="56">
        <v>954.1</v>
      </c>
      <c r="Y51" s="56">
        <v>1.34E-2</v>
      </c>
      <c r="Z51" s="56">
        <v>0.54220000000000002</v>
      </c>
      <c r="AA51" s="56">
        <v>7.3400000000000007E-2</v>
      </c>
      <c r="AB51" s="56">
        <v>0.1371</v>
      </c>
      <c r="AC51" s="56">
        <v>0.70279999999999998</v>
      </c>
      <c r="AD51" s="56">
        <v>5397.83</v>
      </c>
      <c r="AE51" s="56">
        <v>1.4466000000000001</v>
      </c>
      <c r="AF51" s="56">
        <v>5.7799999999999997E-2</v>
      </c>
      <c r="AG51" s="56">
        <v>0.57069999999999999</v>
      </c>
      <c r="AH51" s="56">
        <v>1.7522</v>
      </c>
      <c r="AI51" s="58">
        <v>40063752</v>
      </c>
      <c r="AJ51" s="58">
        <v>49804148</v>
      </c>
      <c r="AK51" s="58">
        <v>21360000</v>
      </c>
      <c r="AL51" s="58">
        <v>20595000</v>
      </c>
      <c r="AM51" s="57">
        <v>0</v>
      </c>
      <c r="AN51" s="58">
        <v>6600000</v>
      </c>
      <c r="AO51" s="58">
        <v>41955000</v>
      </c>
      <c r="AP51" s="64" t="s">
        <v>52</v>
      </c>
      <c r="AQ51" s="69">
        <v>2021</v>
      </c>
      <c r="AR51" s="64">
        <v>0</v>
      </c>
      <c r="AS51" s="64">
        <v>0</v>
      </c>
      <c r="AT51" s="64">
        <v>0</v>
      </c>
      <c r="AU51" s="64">
        <v>0</v>
      </c>
      <c r="AV51">
        <v>1</v>
      </c>
      <c r="AW51">
        <v>0</v>
      </c>
      <c r="AX51" s="64">
        <v>0</v>
      </c>
      <c r="AY51" s="64"/>
      <c r="AZ51" s="64">
        <f t="shared" si="0"/>
        <v>1</v>
      </c>
      <c r="BA51" s="64" t="s">
        <v>207</v>
      </c>
    </row>
    <row r="52" spans="1:53" ht="14.25" customHeight="1" x14ac:dyDescent="0.3">
      <c r="A52" s="64" t="s">
        <v>138</v>
      </c>
      <c r="B52" s="69" t="s">
        <v>159</v>
      </c>
      <c r="C52" s="64">
        <v>21763</v>
      </c>
      <c r="D52" s="64">
        <v>41.8</v>
      </c>
      <c r="E52" s="64">
        <v>795</v>
      </c>
      <c r="F52" s="64">
        <v>5451</v>
      </c>
      <c r="G52" s="64">
        <v>3921</v>
      </c>
      <c r="H52" s="64">
        <v>421</v>
      </c>
      <c r="I52" s="64">
        <v>2346251900</v>
      </c>
      <c r="J52" s="64">
        <v>153510</v>
      </c>
      <c r="K52" s="64">
        <v>108921</v>
      </c>
      <c r="L52" s="64">
        <v>9440</v>
      </c>
      <c r="M52" s="64">
        <v>2.2999999999999998</v>
      </c>
      <c r="N52" s="64">
        <v>1095</v>
      </c>
      <c r="O52" s="64">
        <v>506</v>
      </c>
      <c r="P52" s="64">
        <v>11512</v>
      </c>
      <c r="Q52" s="73">
        <v>7</v>
      </c>
      <c r="R52" s="73">
        <v>16</v>
      </c>
      <c r="S52" s="73">
        <v>15</v>
      </c>
      <c r="T52" s="73">
        <v>38</v>
      </c>
      <c r="U52" s="56">
        <v>8.5065000000000008</v>
      </c>
      <c r="V52" s="56">
        <v>2.0057999999999998</v>
      </c>
      <c r="W52" s="56">
        <v>7.9899999999999999E-2</v>
      </c>
      <c r="X52" s="56">
        <v>1380.8</v>
      </c>
      <c r="Y52" s="56">
        <v>6.8999999999999999E-3</v>
      </c>
      <c r="Z52" s="56">
        <v>0.35730000000000001</v>
      </c>
      <c r="AA52" s="56">
        <v>8.2500000000000004E-2</v>
      </c>
      <c r="AB52" s="56">
        <v>7.7100000000000002E-2</v>
      </c>
      <c r="AC52" s="56">
        <v>0.54690000000000005</v>
      </c>
      <c r="AD52" s="56">
        <v>7985.51</v>
      </c>
      <c r="AE52" s="56">
        <v>0.6099</v>
      </c>
      <c r="AF52" s="56">
        <v>7.9899999999999999E-2</v>
      </c>
      <c r="AG52" s="56">
        <v>0.1227</v>
      </c>
      <c r="AH52" s="56">
        <v>8.1480999999999995</v>
      </c>
      <c r="AI52" s="58">
        <v>41200829</v>
      </c>
      <c r="AJ52" s="58">
        <v>9822174</v>
      </c>
      <c r="AK52" s="58">
        <v>12375243</v>
      </c>
      <c r="AL52" s="57">
        <v>0</v>
      </c>
      <c r="AM52" s="57">
        <v>0</v>
      </c>
      <c r="AN52" s="58">
        <v>387717</v>
      </c>
      <c r="AO52" s="58">
        <v>12762960</v>
      </c>
      <c r="AP52" s="64" t="s">
        <v>52</v>
      </c>
      <c r="AQ52" s="69">
        <v>2024</v>
      </c>
      <c r="AR52" s="64">
        <v>0</v>
      </c>
      <c r="AS52" s="64">
        <v>0</v>
      </c>
      <c r="AT52" s="64">
        <v>1</v>
      </c>
      <c r="AU52" s="64">
        <v>0</v>
      </c>
      <c r="AV52">
        <v>0</v>
      </c>
      <c r="AW52">
        <v>0</v>
      </c>
      <c r="AX52" s="64">
        <v>0</v>
      </c>
      <c r="AY52" s="64"/>
      <c r="AZ52" s="64">
        <f t="shared" si="0"/>
        <v>1</v>
      </c>
      <c r="BA52" s="64" t="s">
        <v>205</v>
      </c>
    </row>
    <row r="53" spans="1:53" ht="14.25" customHeight="1" x14ac:dyDescent="0.3">
      <c r="A53" s="64" t="s">
        <v>139</v>
      </c>
      <c r="B53" s="69" t="s">
        <v>159</v>
      </c>
      <c r="C53" s="64">
        <v>19190</v>
      </c>
      <c r="D53" s="64">
        <v>37.299999999999997</v>
      </c>
      <c r="E53" s="64">
        <v>2039</v>
      </c>
      <c r="F53" s="64">
        <v>5875</v>
      </c>
      <c r="G53" s="64">
        <v>2686</v>
      </c>
      <c r="H53" s="64">
        <v>175</v>
      </c>
      <c r="I53" s="64">
        <v>1177381800</v>
      </c>
      <c r="J53" s="64">
        <v>94640</v>
      </c>
      <c r="K53" s="64">
        <v>62094</v>
      </c>
      <c r="L53" s="64">
        <v>10348</v>
      </c>
      <c r="M53" s="64">
        <v>1.85</v>
      </c>
      <c r="N53" s="64">
        <v>1728</v>
      </c>
      <c r="O53" s="64">
        <v>513</v>
      </c>
      <c r="P53" s="64">
        <v>13968</v>
      </c>
      <c r="Q53" s="73">
        <v>8</v>
      </c>
      <c r="R53" s="73">
        <v>14</v>
      </c>
      <c r="S53" s="73">
        <v>18</v>
      </c>
      <c r="T53" s="73">
        <v>40</v>
      </c>
      <c r="U53" s="56">
        <v>5.1162000000000001</v>
      </c>
      <c r="V53" s="56">
        <v>7.6300000000000007E-2</v>
      </c>
      <c r="W53" s="56">
        <v>0.3826</v>
      </c>
      <c r="X53" s="56">
        <v>3339.66</v>
      </c>
      <c r="Y53" s="56">
        <v>7.9699999999999993E-2</v>
      </c>
      <c r="Z53" s="56">
        <v>0.1041</v>
      </c>
      <c r="AA53" s="56">
        <v>2.8500000000000001E-2</v>
      </c>
      <c r="AB53" s="56">
        <v>8.9399999999999993E-2</v>
      </c>
      <c r="AC53" s="56">
        <v>0.61460000000000004</v>
      </c>
      <c r="AD53" s="56">
        <v>4183.47</v>
      </c>
      <c r="AE53" s="56">
        <v>0.49109999999999998</v>
      </c>
      <c r="AF53" s="56">
        <v>0.48180000000000001</v>
      </c>
      <c r="AG53" s="56">
        <v>0.51319999999999999</v>
      </c>
      <c r="AH53" s="56">
        <v>1.9482999999999999</v>
      </c>
      <c r="AI53" s="58">
        <v>19113911</v>
      </c>
      <c r="AJ53" s="58">
        <v>6353688</v>
      </c>
      <c r="AK53" s="58">
        <v>25300000</v>
      </c>
      <c r="AL53" s="58">
        <v>9367502</v>
      </c>
      <c r="AM53" s="57">
        <v>0</v>
      </c>
      <c r="AN53" s="58">
        <v>2534544</v>
      </c>
      <c r="AO53" s="58">
        <v>64627617</v>
      </c>
      <c r="AP53" s="64" t="s">
        <v>52</v>
      </c>
      <c r="AQ53" s="69">
        <v>2022</v>
      </c>
      <c r="AR53" s="64">
        <v>0</v>
      </c>
      <c r="AS53" s="64">
        <v>0</v>
      </c>
      <c r="AT53" s="64">
        <v>0</v>
      </c>
      <c r="AU53" s="64">
        <v>0</v>
      </c>
      <c r="AV53">
        <v>1</v>
      </c>
      <c r="AW53">
        <v>1</v>
      </c>
      <c r="AX53" s="64">
        <v>0</v>
      </c>
      <c r="AY53" s="64"/>
      <c r="AZ53" s="64">
        <f t="shared" si="0"/>
        <v>2</v>
      </c>
      <c r="BA53" s="64" t="s">
        <v>205</v>
      </c>
    </row>
    <row r="54" spans="1:53" ht="14.25" customHeight="1" x14ac:dyDescent="0.3">
      <c r="A54" s="64" t="s">
        <v>140</v>
      </c>
      <c r="B54" s="69" t="s">
        <v>159</v>
      </c>
      <c r="C54" s="64">
        <v>198535</v>
      </c>
      <c r="D54" s="64">
        <v>32.299999999999997</v>
      </c>
      <c r="E54" s="64">
        <v>23674</v>
      </c>
      <c r="F54" s="64">
        <v>35540</v>
      </c>
      <c r="G54" s="64">
        <v>13671</v>
      </c>
      <c r="H54" s="64">
        <v>2372</v>
      </c>
      <c r="I54" s="64">
        <v>6907866300</v>
      </c>
      <c r="J54" s="64">
        <v>69108</v>
      </c>
      <c r="K54" s="64">
        <v>35921</v>
      </c>
      <c r="L54" s="64">
        <v>80222</v>
      </c>
      <c r="M54" s="64">
        <v>2.38</v>
      </c>
      <c r="N54" s="64">
        <v>32498</v>
      </c>
      <c r="O54" s="64">
        <v>5764</v>
      </c>
      <c r="P54" s="64">
        <v>111747</v>
      </c>
      <c r="Q54" s="73">
        <v>7</v>
      </c>
      <c r="R54" s="73">
        <v>14</v>
      </c>
      <c r="S54" s="73">
        <v>15</v>
      </c>
      <c r="T54" s="73">
        <v>36</v>
      </c>
      <c r="U54" s="56">
        <v>9.6707999999999998</v>
      </c>
      <c r="V54" s="56">
        <v>0.32200000000000001</v>
      </c>
      <c r="W54" s="56">
        <v>0.27050000000000002</v>
      </c>
      <c r="X54" s="56">
        <v>3191.99</v>
      </c>
      <c r="Y54" s="56">
        <v>9.8199999999999996E-2</v>
      </c>
      <c r="Z54" s="56">
        <v>0.24909999999999999</v>
      </c>
      <c r="AA54" s="56">
        <v>3.7999999999999999E-2</v>
      </c>
      <c r="AB54" s="56">
        <v>8.2799999999999999E-2</v>
      </c>
      <c r="AC54" s="56">
        <v>0.59379999999999999</v>
      </c>
      <c r="AD54" s="56">
        <v>5915.49</v>
      </c>
      <c r="AE54" s="56">
        <v>0.75680000000000003</v>
      </c>
      <c r="AF54" s="56">
        <v>7.7700000000000005E-2</v>
      </c>
      <c r="AG54" s="56">
        <v>0.53039999999999998</v>
      </c>
      <c r="AH54" s="56">
        <v>1.8854</v>
      </c>
      <c r="AI54" s="58">
        <v>212838808</v>
      </c>
      <c r="AJ54" s="58">
        <v>213084121</v>
      </c>
      <c r="AK54" s="58">
        <v>287495000</v>
      </c>
      <c r="AL54" s="58">
        <v>368434292</v>
      </c>
      <c r="AM54" s="57">
        <v>0</v>
      </c>
      <c r="AN54" s="58">
        <v>528492</v>
      </c>
      <c r="AO54" s="58">
        <v>674586406</v>
      </c>
      <c r="AP54" s="64" t="s">
        <v>52</v>
      </c>
      <c r="AQ54" s="69">
        <v>2025</v>
      </c>
      <c r="AR54" s="64">
        <v>0</v>
      </c>
      <c r="AS54" s="64">
        <v>0</v>
      </c>
      <c r="AT54" s="64">
        <v>1</v>
      </c>
      <c r="AU54" s="64">
        <v>0</v>
      </c>
      <c r="AV54">
        <v>1</v>
      </c>
      <c r="AW54">
        <v>0</v>
      </c>
      <c r="AX54" s="64">
        <v>0</v>
      </c>
      <c r="AY54" s="64"/>
      <c r="AZ54" s="64">
        <f t="shared" si="0"/>
        <v>2</v>
      </c>
      <c r="BA54" s="64" t="s">
        <v>205</v>
      </c>
    </row>
    <row r="55" spans="1:53" ht="14.25" customHeight="1" x14ac:dyDescent="0.3">
      <c r="A55" s="64" t="s">
        <v>141</v>
      </c>
      <c r="B55" s="69" t="s">
        <v>159</v>
      </c>
      <c r="C55" s="64">
        <v>27743</v>
      </c>
      <c r="D55" s="64">
        <v>26.5</v>
      </c>
      <c r="E55" s="64">
        <v>4137</v>
      </c>
      <c r="F55" s="64">
        <v>1781</v>
      </c>
      <c r="G55" s="64">
        <v>632</v>
      </c>
      <c r="H55" s="64">
        <v>106</v>
      </c>
      <c r="I55" s="64">
        <v>390117600</v>
      </c>
      <c r="J55" s="64">
        <v>39293</v>
      </c>
      <c r="K55" s="64">
        <v>14915</v>
      </c>
      <c r="L55" s="64">
        <v>7120</v>
      </c>
      <c r="M55" s="64">
        <v>3.86</v>
      </c>
      <c r="N55" s="64">
        <v>10956</v>
      </c>
      <c r="O55" s="64">
        <v>1136</v>
      </c>
      <c r="P55" s="64">
        <v>8699</v>
      </c>
      <c r="Q55" s="73">
        <v>1</v>
      </c>
      <c r="R55" s="73">
        <v>3</v>
      </c>
      <c r="S55" s="73">
        <v>6</v>
      </c>
      <c r="T55" s="73">
        <v>10</v>
      </c>
      <c r="U55" s="56">
        <v>3.9009</v>
      </c>
      <c r="V55" s="56">
        <v>-0.41599999999999998</v>
      </c>
      <c r="W55" s="56">
        <v>6.0299999999999999E-2</v>
      </c>
      <c r="X55" s="56">
        <v>228.55</v>
      </c>
      <c r="Y55" s="56">
        <v>2.7000000000000001E-3</v>
      </c>
      <c r="Z55" s="56">
        <v>0.64090000000000003</v>
      </c>
      <c r="AA55" s="57">
        <v>0</v>
      </c>
      <c r="AB55" s="57">
        <v>0</v>
      </c>
      <c r="AC55" s="56">
        <v>0.54249999999999998</v>
      </c>
      <c r="AD55" s="56">
        <v>551.04999999999995</v>
      </c>
      <c r="AE55" s="56">
        <v>1.1328</v>
      </c>
      <c r="AF55" s="56">
        <v>0.25109999999999999</v>
      </c>
      <c r="AG55" s="56">
        <v>0.59399999999999997</v>
      </c>
      <c r="AH55" s="56">
        <v>1.6836</v>
      </c>
      <c r="AI55" s="58">
        <v>14766992</v>
      </c>
      <c r="AJ55" s="58">
        <v>30384000</v>
      </c>
      <c r="AK55" s="57">
        <v>0</v>
      </c>
      <c r="AL55" s="58">
        <v>6751760</v>
      </c>
      <c r="AM55" s="57">
        <v>0</v>
      </c>
      <c r="AN55" s="57">
        <v>0</v>
      </c>
      <c r="AO55" s="58">
        <v>6751760</v>
      </c>
      <c r="AP55" s="64" t="s">
        <v>52</v>
      </c>
      <c r="AQ55" s="69">
        <v>2024</v>
      </c>
      <c r="AR55" s="64">
        <v>0</v>
      </c>
      <c r="AS55" s="64">
        <v>0</v>
      </c>
      <c r="AT55" s="64">
        <v>0</v>
      </c>
      <c r="AU55" s="64">
        <v>0</v>
      </c>
      <c r="AV55">
        <v>0</v>
      </c>
      <c r="AW55">
        <v>0</v>
      </c>
      <c r="AX55" s="64">
        <v>0</v>
      </c>
      <c r="AY55" s="64"/>
      <c r="AZ55" s="64">
        <f t="shared" si="0"/>
        <v>0</v>
      </c>
      <c r="BA55" s="64" t="s">
        <v>207</v>
      </c>
    </row>
    <row r="56" spans="1:53" ht="14.25" customHeight="1" x14ac:dyDescent="0.3">
      <c r="A56" s="64" t="s">
        <v>142</v>
      </c>
      <c r="B56" s="69" t="s">
        <v>159</v>
      </c>
      <c r="C56" s="64">
        <v>2110</v>
      </c>
      <c r="D56" s="64">
        <v>47.2</v>
      </c>
      <c r="E56" s="64">
        <v>497</v>
      </c>
      <c r="F56" s="64">
        <v>96</v>
      </c>
      <c r="G56" s="64">
        <v>76</v>
      </c>
      <c r="H56" s="64">
        <v>19</v>
      </c>
      <c r="I56" s="64">
        <v>48037700</v>
      </c>
      <c r="J56" s="64">
        <v>39430</v>
      </c>
      <c r="K56" s="64">
        <v>24450</v>
      </c>
      <c r="L56" s="64">
        <v>888</v>
      </c>
      <c r="M56" s="64">
        <v>2.2000000000000002</v>
      </c>
      <c r="N56" s="64">
        <v>502</v>
      </c>
      <c r="O56" s="64">
        <v>5</v>
      </c>
      <c r="P56" s="64">
        <v>661</v>
      </c>
      <c r="Q56" s="73">
        <v>5</v>
      </c>
      <c r="R56" s="73">
        <v>10</v>
      </c>
      <c r="S56" s="73">
        <v>10</v>
      </c>
      <c r="T56" s="73">
        <v>25</v>
      </c>
      <c r="U56" s="56">
        <v>3.7921</v>
      </c>
      <c r="V56" s="56">
        <v>2.3400000000000001E-2</v>
      </c>
      <c r="W56" s="56">
        <v>0.33129999999999998</v>
      </c>
      <c r="X56" s="56">
        <v>4330.22</v>
      </c>
      <c r="Y56" s="56">
        <v>6.0600000000000001E-2</v>
      </c>
      <c r="Z56" s="56">
        <v>0.17369999999999999</v>
      </c>
      <c r="AA56" s="56">
        <v>0</v>
      </c>
      <c r="AB56" s="56">
        <v>0</v>
      </c>
      <c r="AC56" s="56">
        <v>0.84460000000000002</v>
      </c>
      <c r="AD56" s="56">
        <v>10616.77</v>
      </c>
      <c r="AE56" s="56">
        <v>0.89639999999999997</v>
      </c>
      <c r="AF56" s="56">
        <v>9.74E-2</v>
      </c>
      <c r="AG56" s="56">
        <v>0.4511</v>
      </c>
      <c r="AH56" s="56">
        <v>2.2168000000000001</v>
      </c>
      <c r="AI56" s="58">
        <v>1129967</v>
      </c>
      <c r="AJ56" s="58">
        <v>3465328</v>
      </c>
      <c r="AK56" s="58">
        <v>2517000</v>
      </c>
      <c r="AL56" s="58">
        <v>5630000</v>
      </c>
      <c r="AM56" s="57">
        <v>0</v>
      </c>
      <c r="AN56" s="57">
        <v>0</v>
      </c>
      <c r="AO56" s="58">
        <v>9884977</v>
      </c>
      <c r="AP56" s="64" t="s">
        <v>59</v>
      </c>
      <c r="AQ56" s="69">
        <v>2024</v>
      </c>
      <c r="AR56" s="64">
        <v>0</v>
      </c>
      <c r="AS56" s="64">
        <v>0</v>
      </c>
      <c r="AT56" s="64">
        <v>0</v>
      </c>
      <c r="AU56" s="64">
        <v>0</v>
      </c>
      <c r="AV56">
        <v>0</v>
      </c>
      <c r="AW56">
        <v>0</v>
      </c>
      <c r="AX56" s="64">
        <v>0</v>
      </c>
      <c r="AY56" s="64"/>
      <c r="AZ56" s="64">
        <f t="shared" si="0"/>
        <v>0</v>
      </c>
      <c r="BA56" s="64" t="s">
        <v>207</v>
      </c>
    </row>
    <row r="57" spans="1:53" ht="14.25" customHeight="1" x14ac:dyDescent="0.3">
      <c r="A57" s="64" t="s">
        <v>75</v>
      </c>
      <c r="B57" s="69" t="s">
        <v>159</v>
      </c>
      <c r="C57" s="64">
        <v>8628</v>
      </c>
      <c r="D57" s="64">
        <v>42.7</v>
      </c>
      <c r="E57" s="64">
        <v>1346</v>
      </c>
      <c r="F57" s="64">
        <v>611</v>
      </c>
      <c r="G57" s="64">
        <v>332</v>
      </c>
      <c r="H57" s="64">
        <v>111</v>
      </c>
      <c r="I57" s="64">
        <v>231224900</v>
      </c>
      <c r="J57" s="64">
        <v>29309</v>
      </c>
      <c r="K57" s="64">
        <v>28606</v>
      </c>
      <c r="L57" s="64">
        <v>3825</v>
      </c>
      <c r="M57" s="64">
        <v>2.13</v>
      </c>
      <c r="N57" s="64">
        <v>3433</v>
      </c>
      <c r="O57" s="64">
        <v>685</v>
      </c>
      <c r="P57" s="64">
        <v>3669</v>
      </c>
      <c r="Q57" s="73">
        <v>4</v>
      </c>
      <c r="R57" s="73">
        <v>9</v>
      </c>
      <c r="S57" s="73">
        <v>9</v>
      </c>
      <c r="T57" s="73">
        <v>22</v>
      </c>
      <c r="U57" s="56">
        <v>1.1429</v>
      </c>
      <c r="V57" s="56">
        <v>-0.22989999999999999</v>
      </c>
      <c r="W57" s="56">
        <v>0.29430000000000001</v>
      </c>
      <c r="X57" s="56">
        <v>2332.23</v>
      </c>
      <c r="Y57" s="56">
        <v>1.66E-2</v>
      </c>
      <c r="Z57" s="56">
        <v>7.3700000000000002E-2</v>
      </c>
      <c r="AA57" s="56">
        <v>1.2999999999999999E-2</v>
      </c>
      <c r="AB57" s="56">
        <v>1.4999999999999999E-2</v>
      </c>
      <c r="AC57" s="56">
        <v>0.77739999999999998</v>
      </c>
      <c r="AD57" s="56">
        <v>4000</v>
      </c>
      <c r="AE57" s="56">
        <v>0.94369999999999998</v>
      </c>
      <c r="AF57" s="56">
        <v>0.21579999999999999</v>
      </c>
      <c r="AG57" s="56">
        <v>0.44600000000000001</v>
      </c>
      <c r="AH57" s="56">
        <v>2.2422</v>
      </c>
      <c r="AI57" s="58">
        <v>11476008</v>
      </c>
      <c r="AJ57" s="58">
        <v>28090543</v>
      </c>
      <c r="AK57" s="58">
        <v>3235000</v>
      </c>
      <c r="AL57" s="58">
        <v>16592681</v>
      </c>
      <c r="AM57" s="57">
        <v>0</v>
      </c>
      <c r="AN57" s="58">
        <v>2898502</v>
      </c>
      <c r="AO57" s="58">
        <v>22002681</v>
      </c>
      <c r="AP57" s="64" t="s">
        <v>59</v>
      </c>
      <c r="AQ57" s="69">
        <v>2023</v>
      </c>
      <c r="AR57" s="64">
        <v>0</v>
      </c>
      <c r="AS57" s="64">
        <v>0</v>
      </c>
      <c r="AT57" s="64">
        <v>0</v>
      </c>
      <c r="AU57" s="64">
        <v>0</v>
      </c>
      <c r="AV57">
        <v>0</v>
      </c>
      <c r="AW57">
        <v>0</v>
      </c>
      <c r="AX57" s="64">
        <v>0</v>
      </c>
      <c r="AY57" s="64"/>
      <c r="AZ57" s="64">
        <f t="shared" si="0"/>
        <v>0</v>
      </c>
      <c r="BA57" s="64" t="s">
        <v>207</v>
      </c>
    </row>
    <row r="58" spans="1:53" ht="14.25" customHeight="1" x14ac:dyDescent="0.3">
      <c r="A58" s="64" t="s">
        <v>143</v>
      </c>
      <c r="B58" s="69" t="s">
        <v>159</v>
      </c>
      <c r="C58" s="64">
        <v>31058</v>
      </c>
      <c r="D58" s="64">
        <v>35.299999999999997</v>
      </c>
      <c r="E58" s="64">
        <v>6495</v>
      </c>
      <c r="F58" s="64">
        <v>2264</v>
      </c>
      <c r="G58" s="64">
        <v>777</v>
      </c>
      <c r="H58" s="64">
        <v>66</v>
      </c>
      <c r="I58" s="64">
        <v>783738600</v>
      </c>
      <c r="J58" s="64">
        <v>44558</v>
      </c>
      <c r="K58" s="64">
        <v>25996</v>
      </c>
      <c r="L58" s="64">
        <v>13281</v>
      </c>
      <c r="M58" s="64">
        <v>2.29</v>
      </c>
      <c r="N58" s="64">
        <v>7487</v>
      </c>
      <c r="O58" s="64">
        <v>1356</v>
      </c>
      <c r="P58" s="64">
        <v>14868</v>
      </c>
      <c r="Q58" s="73">
        <v>5</v>
      </c>
      <c r="R58" s="73">
        <v>12</v>
      </c>
      <c r="S58" s="73">
        <v>11</v>
      </c>
      <c r="T58" s="73">
        <v>28</v>
      </c>
      <c r="U58" s="56">
        <v>6.3665000000000003</v>
      </c>
      <c r="V58" s="56">
        <v>0.34649999999999997</v>
      </c>
      <c r="W58" s="56">
        <v>0.1105</v>
      </c>
      <c r="X58" s="56">
        <v>1302.49</v>
      </c>
      <c r="Y58" s="56">
        <v>5.7099999999999998E-2</v>
      </c>
      <c r="Z58" s="56">
        <v>0.24690000000000001</v>
      </c>
      <c r="AA58" s="56">
        <v>3.7000000000000002E-3</v>
      </c>
      <c r="AB58" s="56">
        <v>7.1999999999999998E-3</v>
      </c>
      <c r="AC58" s="56">
        <v>0.68940000000000001</v>
      </c>
      <c r="AD58" s="56">
        <v>7331.9</v>
      </c>
      <c r="AE58" s="56">
        <v>0.83389999999999997</v>
      </c>
      <c r="AF58" s="56">
        <v>7.9600000000000004E-2</v>
      </c>
      <c r="AG58" s="56">
        <v>0.3251</v>
      </c>
      <c r="AH58" s="56">
        <v>3.0764999999999998</v>
      </c>
      <c r="AI58" s="58">
        <v>25338060</v>
      </c>
      <c r="AJ58" s="58">
        <v>35882315</v>
      </c>
      <c r="AK58" s="58">
        <v>43367100</v>
      </c>
      <c r="AL58" s="58">
        <v>8417765</v>
      </c>
      <c r="AM58" s="57">
        <v>0</v>
      </c>
      <c r="AN58" s="58">
        <v>40623968</v>
      </c>
      <c r="AO58" s="58">
        <v>51784865</v>
      </c>
      <c r="AP58" s="64" t="s">
        <v>52</v>
      </c>
      <c r="AQ58" s="69">
        <v>2024</v>
      </c>
      <c r="AR58" s="64">
        <v>0</v>
      </c>
      <c r="AS58" s="64">
        <v>0</v>
      </c>
      <c r="AT58" s="64">
        <v>0</v>
      </c>
      <c r="AU58" s="64">
        <v>0</v>
      </c>
      <c r="AV58">
        <v>0</v>
      </c>
      <c r="AW58">
        <v>0</v>
      </c>
      <c r="AX58" s="64">
        <v>0</v>
      </c>
      <c r="AY58" s="64"/>
      <c r="AZ58" s="64">
        <f t="shared" si="0"/>
        <v>0</v>
      </c>
      <c r="BA58" s="64" t="s">
        <v>206</v>
      </c>
    </row>
    <row r="59" spans="1:53" ht="14.25" customHeight="1" x14ac:dyDescent="0.3">
      <c r="A59" s="64" t="s">
        <v>144</v>
      </c>
      <c r="B59" s="69" t="s">
        <v>159</v>
      </c>
      <c r="C59" s="64">
        <v>73076</v>
      </c>
      <c r="D59" s="64">
        <v>26.9</v>
      </c>
      <c r="E59" s="64">
        <v>7647</v>
      </c>
      <c r="F59" s="64">
        <v>8921</v>
      </c>
      <c r="G59" s="64">
        <v>4239</v>
      </c>
      <c r="H59" s="64">
        <v>948</v>
      </c>
      <c r="I59" s="64">
        <v>2083490500</v>
      </c>
      <c r="J59" s="64">
        <v>52272</v>
      </c>
      <c r="K59" s="64">
        <v>29341</v>
      </c>
      <c r="L59" s="64">
        <v>29523</v>
      </c>
      <c r="M59" s="64">
        <v>2.25</v>
      </c>
      <c r="N59" s="64">
        <v>16607</v>
      </c>
      <c r="O59" s="64">
        <v>2730</v>
      </c>
      <c r="P59" s="64">
        <v>39533</v>
      </c>
      <c r="Q59" s="73">
        <v>8</v>
      </c>
      <c r="R59" s="73">
        <v>16</v>
      </c>
      <c r="S59" s="73">
        <v>16</v>
      </c>
      <c r="T59" s="73">
        <v>40</v>
      </c>
      <c r="U59" s="56">
        <v>1.5719000000000001</v>
      </c>
      <c r="V59" s="56">
        <v>0.1183</v>
      </c>
      <c r="W59" s="56">
        <v>0.3498</v>
      </c>
      <c r="X59" s="56">
        <v>5434.89</v>
      </c>
      <c r="Y59" s="56">
        <v>8.7499999999999994E-2</v>
      </c>
      <c r="Z59" s="56">
        <v>-0.4264</v>
      </c>
      <c r="AA59" s="56">
        <v>3.3700000000000001E-2</v>
      </c>
      <c r="AB59" s="56">
        <v>9.7100000000000006E-2</v>
      </c>
      <c r="AC59" s="56">
        <v>0.57279999999999998</v>
      </c>
      <c r="AD59" s="56">
        <v>6700.09</v>
      </c>
      <c r="AE59" s="56">
        <v>0.56969999999999998</v>
      </c>
      <c r="AF59" s="56">
        <v>0.4012</v>
      </c>
      <c r="AG59" s="56">
        <v>0.4128</v>
      </c>
      <c r="AH59" s="56">
        <v>2.4224000000000001</v>
      </c>
      <c r="AI59" s="58">
        <v>30867773</v>
      </c>
      <c r="AJ59" s="58">
        <v>118306574</v>
      </c>
      <c r="AK59" s="58">
        <v>151905002</v>
      </c>
      <c r="AL59" s="58">
        <v>206920000</v>
      </c>
      <c r="AM59" s="57">
        <v>0</v>
      </c>
      <c r="AN59" s="58">
        <v>144168697</v>
      </c>
      <c r="AO59" s="87">
        <v>422040847</v>
      </c>
      <c r="AP59" s="64" t="s">
        <v>52</v>
      </c>
      <c r="AQ59" s="69">
        <v>2022</v>
      </c>
      <c r="AR59" s="64">
        <v>0</v>
      </c>
      <c r="AS59" s="64">
        <v>0</v>
      </c>
      <c r="AT59" s="64">
        <v>1</v>
      </c>
      <c r="AU59" s="64">
        <v>0</v>
      </c>
      <c r="AV59">
        <v>1</v>
      </c>
      <c r="AW59">
        <v>0</v>
      </c>
      <c r="AX59" s="64">
        <v>0</v>
      </c>
      <c r="AY59" s="64"/>
      <c r="AZ59" s="64">
        <f t="shared" si="0"/>
        <v>2</v>
      </c>
      <c r="BA59" s="64" t="s">
        <v>205</v>
      </c>
    </row>
    <row r="60" spans="1:53" ht="14.25" customHeight="1" x14ac:dyDescent="0.3">
      <c r="A60" s="64" t="s">
        <v>145</v>
      </c>
      <c r="B60" s="69" t="s">
        <v>159</v>
      </c>
      <c r="C60" s="64">
        <v>113023</v>
      </c>
      <c r="D60" s="64">
        <v>33.700000000000003</v>
      </c>
      <c r="E60" s="64">
        <v>15158</v>
      </c>
      <c r="F60" s="64">
        <v>14422</v>
      </c>
      <c r="G60" s="64">
        <v>6008</v>
      </c>
      <c r="H60" s="64">
        <v>1424</v>
      </c>
      <c r="I60" s="64">
        <v>3435496900</v>
      </c>
      <c r="J60" s="64">
        <v>54382</v>
      </c>
      <c r="K60" s="64">
        <v>30958</v>
      </c>
      <c r="L60" s="64">
        <v>51588</v>
      </c>
      <c r="M60" s="64">
        <v>2.17</v>
      </c>
      <c r="N60" s="64">
        <v>22608</v>
      </c>
      <c r="O60" s="64">
        <v>5128</v>
      </c>
      <c r="P60" s="64">
        <v>62313</v>
      </c>
      <c r="Q60" s="73">
        <v>4</v>
      </c>
      <c r="R60" s="73">
        <v>8</v>
      </c>
      <c r="S60" s="73">
        <v>10</v>
      </c>
      <c r="T60" s="73">
        <v>22</v>
      </c>
      <c r="U60" s="56">
        <v>1.3434999999999999</v>
      </c>
      <c r="V60" s="56">
        <v>-1.5388999999999999</v>
      </c>
      <c r="W60" s="56">
        <v>0.32919999999999999</v>
      </c>
      <c r="X60" s="56">
        <v>3202.22</v>
      </c>
      <c r="Y60" s="56">
        <v>4.9299999999999997E-2</v>
      </c>
      <c r="Z60" s="56">
        <v>0.35970000000000002</v>
      </c>
      <c r="AA60" s="56">
        <v>2.0299999999999999E-2</v>
      </c>
      <c r="AB60" s="56">
        <v>7.2800000000000004E-2</v>
      </c>
      <c r="AC60" s="56">
        <v>0.58789999999999998</v>
      </c>
      <c r="AD60" s="56">
        <v>4656.8999999999996</v>
      </c>
      <c r="AE60" s="56">
        <v>3.9228000000000001</v>
      </c>
      <c r="AF60" s="56">
        <v>0.84860000000000002</v>
      </c>
      <c r="AG60" s="56">
        <v>0.90010000000000001</v>
      </c>
      <c r="AH60" s="56">
        <v>1.1111</v>
      </c>
      <c r="AI60" s="58">
        <v>107222109</v>
      </c>
      <c r="AJ60" s="58">
        <v>130491352</v>
      </c>
      <c r="AK60" s="58">
        <v>338673480</v>
      </c>
      <c r="AL60" s="58">
        <v>4725000</v>
      </c>
      <c r="AM60" s="57">
        <v>0</v>
      </c>
      <c r="AN60" s="58">
        <v>311709000</v>
      </c>
      <c r="AO60" s="58">
        <v>398693437</v>
      </c>
      <c r="AP60" s="64" t="s">
        <v>52</v>
      </c>
      <c r="AQ60" s="69">
        <v>2020</v>
      </c>
      <c r="AR60" s="64">
        <v>0</v>
      </c>
      <c r="AS60" s="64">
        <v>0</v>
      </c>
      <c r="AT60" s="64">
        <v>0</v>
      </c>
      <c r="AU60" s="64">
        <v>0</v>
      </c>
      <c r="AV60">
        <v>1</v>
      </c>
      <c r="AW60">
        <v>0</v>
      </c>
      <c r="AX60" s="64">
        <v>0</v>
      </c>
      <c r="AY60" s="64"/>
      <c r="AZ60" s="64">
        <f t="shared" si="0"/>
        <v>1</v>
      </c>
      <c r="BA60" s="64" t="s">
        <v>205</v>
      </c>
    </row>
    <row r="61" spans="1:53" ht="14.25" customHeight="1" x14ac:dyDescent="0.3">
      <c r="A61" s="64" t="s">
        <v>146</v>
      </c>
      <c r="B61" s="69" t="s">
        <v>159</v>
      </c>
      <c r="C61" s="64">
        <v>44217</v>
      </c>
      <c r="D61" s="64">
        <v>36.299999999999997</v>
      </c>
      <c r="E61" s="64">
        <v>2613</v>
      </c>
      <c r="F61" s="64">
        <v>8893</v>
      </c>
      <c r="G61" s="64">
        <v>5429</v>
      </c>
      <c r="H61" s="64">
        <v>2933</v>
      </c>
      <c r="I61" s="64">
        <v>2385732500</v>
      </c>
      <c r="J61" s="64">
        <v>86909</v>
      </c>
      <c r="K61" s="64">
        <v>54364</v>
      </c>
      <c r="L61" s="64">
        <v>18912</v>
      </c>
      <c r="M61" s="64">
        <v>2.31</v>
      </c>
      <c r="N61" s="64">
        <v>5714</v>
      </c>
      <c r="O61" s="64">
        <v>840</v>
      </c>
      <c r="P61" s="64">
        <v>23614</v>
      </c>
      <c r="Q61" s="73">
        <v>6</v>
      </c>
      <c r="R61" s="73">
        <v>11</v>
      </c>
      <c r="S61" s="73">
        <v>8</v>
      </c>
      <c r="T61" s="73">
        <v>25</v>
      </c>
      <c r="U61" s="56">
        <v>5.3746</v>
      </c>
      <c r="V61" s="56">
        <v>0.70840000000000003</v>
      </c>
      <c r="W61" s="56">
        <v>0.18959999999999999</v>
      </c>
      <c r="X61" s="56">
        <v>1142.4100000000001</v>
      </c>
      <c r="Y61" s="56">
        <v>2.5100000000000001E-2</v>
      </c>
      <c r="Z61" s="56">
        <v>0.2959</v>
      </c>
      <c r="AA61" s="56">
        <v>1.0200000000000001E-2</v>
      </c>
      <c r="AB61" s="56">
        <v>2.06E-2</v>
      </c>
      <c r="AC61" s="56">
        <v>0.59260000000000002</v>
      </c>
      <c r="AD61" s="56">
        <v>2694.32</v>
      </c>
      <c r="AE61" s="56">
        <v>0.67689999999999995</v>
      </c>
      <c r="AF61" s="56">
        <v>0.1244</v>
      </c>
      <c r="AG61" s="56">
        <v>0.34320000000000001</v>
      </c>
      <c r="AH61" s="56">
        <v>2.9136000000000002</v>
      </c>
      <c r="AI61" s="58">
        <v>22781217</v>
      </c>
      <c r="AJ61" s="58">
        <v>10218414</v>
      </c>
      <c r="AK61" s="58">
        <v>17230000</v>
      </c>
      <c r="AL61" s="58">
        <v>31148270</v>
      </c>
      <c r="AM61" s="57">
        <v>0</v>
      </c>
      <c r="AN61" s="58">
        <v>4824357</v>
      </c>
      <c r="AO61" s="58">
        <v>57308467</v>
      </c>
      <c r="AP61" s="64" t="s">
        <v>52</v>
      </c>
      <c r="AQ61" s="69">
        <v>2024</v>
      </c>
      <c r="AR61" s="64">
        <v>0</v>
      </c>
      <c r="AS61" s="64">
        <v>0</v>
      </c>
      <c r="AT61" s="64">
        <v>0</v>
      </c>
      <c r="AU61" s="64">
        <v>0</v>
      </c>
      <c r="AV61">
        <v>1</v>
      </c>
      <c r="AW61">
        <v>0</v>
      </c>
      <c r="AX61" s="64">
        <v>0</v>
      </c>
      <c r="AY61" s="64"/>
      <c r="AZ61" s="64">
        <f t="shared" si="0"/>
        <v>1</v>
      </c>
      <c r="BA61" s="64" t="s">
        <v>206</v>
      </c>
    </row>
    <row r="62" spans="1:53" ht="14.25" customHeight="1" x14ac:dyDescent="0.3">
      <c r="A62" s="64" t="s">
        <v>147</v>
      </c>
      <c r="B62" s="69" t="s">
        <v>159</v>
      </c>
      <c r="C62" s="64">
        <v>2531</v>
      </c>
      <c r="D62" s="64">
        <v>35.4</v>
      </c>
      <c r="E62" s="64">
        <v>487</v>
      </c>
      <c r="F62" s="64">
        <v>223</v>
      </c>
      <c r="G62" s="64">
        <v>138</v>
      </c>
      <c r="H62" s="64">
        <v>5</v>
      </c>
      <c r="I62" s="64">
        <v>76586100</v>
      </c>
      <c r="J62" s="64">
        <v>66750</v>
      </c>
      <c r="K62" s="64">
        <v>31048</v>
      </c>
      <c r="L62" s="64">
        <v>986</v>
      </c>
      <c r="M62" s="64">
        <v>2.54</v>
      </c>
      <c r="N62" s="64">
        <v>121</v>
      </c>
      <c r="O62" s="64">
        <v>2</v>
      </c>
      <c r="P62" s="64">
        <v>1204</v>
      </c>
      <c r="Q62" s="73">
        <v>3</v>
      </c>
      <c r="R62" s="73">
        <v>6</v>
      </c>
      <c r="S62" s="73">
        <v>6</v>
      </c>
      <c r="T62" s="73">
        <v>15</v>
      </c>
      <c r="U62" s="56">
        <v>11.7326</v>
      </c>
      <c r="V62" s="56">
        <v>0.71719999999999995</v>
      </c>
      <c r="W62" s="56">
        <v>0.1191</v>
      </c>
      <c r="X62" s="56">
        <v>1100</v>
      </c>
      <c r="Y62" s="56">
        <v>1.2999999999999999E-2</v>
      </c>
      <c r="Z62" s="56">
        <v>0.1739</v>
      </c>
      <c r="AA62" s="57">
        <v>0</v>
      </c>
      <c r="AB62" s="57">
        <v>0</v>
      </c>
      <c r="AC62" s="56">
        <v>0.67530000000000001</v>
      </c>
      <c r="AD62" s="56">
        <v>5805.68</v>
      </c>
      <c r="AE62" s="56">
        <v>0.68869999999999998</v>
      </c>
      <c r="AF62" s="56">
        <v>8.6900000000000005E-2</v>
      </c>
      <c r="AG62" s="56">
        <v>0.18240000000000001</v>
      </c>
      <c r="AH62" s="56">
        <v>5.4816000000000003</v>
      </c>
      <c r="AI62" s="58">
        <v>1454509</v>
      </c>
      <c r="AJ62" s="58">
        <v>2164043</v>
      </c>
      <c r="AK62" s="57">
        <v>0</v>
      </c>
      <c r="AL62" s="58">
        <v>2388000</v>
      </c>
      <c r="AM62" s="57">
        <v>0</v>
      </c>
      <c r="AN62" s="58">
        <v>95000</v>
      </c>
      <c r="AO62" s="58">
        <v>2707002</v>
      </c>
      <c r="AP62" s="64" t="s">
        <v>59</v>
      </c>
      <c r="AQ62" s="69">
        <v>2023</v>
      </c>
      <c r="AR62" s="64">
        <v>0</v>
      </c>
      <c r="AS62" s="64">
        <v>0</v>
      </c>
      <c r="AT62" s="64">
        <v>0</v>
      </c>
      <c r="AU62" s="64">
        <v>0</v>
      </c>
      <c r="AV62">
        <v>0</v>
      </c>
      <c r="AW62">
        <v>0</v>
      </c>
      <c r="AX62" s="64">
        <v>0</v>
      </c>
      <c r="AY62" s="64"/>
      <c r="AZ62" s="64">
        <f t="shared" si="0"/>
        <v>0</v>
      </c>
      <c r="BA62" s="64">
        <v>0</v>
      </c>
    </row>
    <row r="63" spans="1:53" ht="14.25" customHeight="1" x14ac:dyDescent="0.3">
      <c r="A63" s="64" t="s">
        <v>148</v>
      </c>
      <c r="B63" s="69" t="s">
        <v>159</v>
      </c>
      <c r="C63" s="64">
        <v>37226</v>
      </c>
      <c r="D63" s="64">
        <v>36</v>
      </c>
      <c r="E63" s="64">
        <v>6624</v>
      </c>
      <c r="F63" s="64">
        <v>2903</v>
      </c>
      <c r="G63" s="64">
        <v>748</v>
      </c>
      <c r="H63" s="64">
        <v>51</v>
      </c>
      <c r="I63" s="64">
        <v>839027900</v>
      </c>
      <c r="J63" s="64">
        <v>44735</v>
      </c>
      <c r="K63" s="64">
        <v>24151</v>
      </c>
      <c r="L63" s="64">
        <v>13996</v>
      </c>
      <c r="M63" s="64">
        <v>2.34</v>
      </c>
      <c r="N63" s="64">
        <v>8123</v>
      </c>
      <c r="O63" s="64">
        <v>1475</v>
      </c>
      <c r="P63" s="64">
        <v>15751</v>
      </c>
      <c r="Q63" s="73">
        <v>4</v>
      </c>
      <c r="R63" s="73">
        <v>10</v>
      </c>
      <c r="S63" s="73">
        <v>9</v>
      </c>
      <c r="T63" s="73">
        <v>23</v>
      </c>
      <c r="U63" s="56">
        <v>1.4086000000000001</v>
      </c>
      <c r="V63" s="56">
        <v>-1.1375999999999999</v>
      </c>
      <c r="W63" s="56">
        <v>0.1288</v>
      </c>
      <c r="X63" s="56">
        <v>589.14</v>
      </c>
      <c r="Y63" s="56">
        <v>9.9000000000000008E-3</v>
      </c>
      <c r="Z63" s="56">
        <v>0.45779999999999998</v>
      </c>
      <c r="AA63" s="56">
        <v>0.1109</v>
      </c>
      <c r="AB63" s="56">
        <v>0.21690000000000001</v>
      </c>
      <c r="AC63" s="56">
        <v>0.6996</v>
      </c>
      <c r="AD63" s="56">
        <v>1914.72</v>
      </c>
      <c r="AE63" s="56">
        <v>13.657</v>
      </c>
      <c r="AF63" s="56">
        <v>1.9115</v>
      </c>
      <c r="AG63" s="56">
        <v>1.0116000000000001</v>
      </c>
      <c r="AH63" s="56">
        <v>0.98860000000000003</v>
      </c>
      <c r="AI63" s="58">
        <v>4200962</v>
      </c>
      <c r="AJ63" s="58">
        <v>13538296</v>
      </c>
      <c r="AK63" s="58">
        <v>3662094</v>
      </c>
      <c r="AL63" s="57">
        <v>0</v>
      </c>
      <c r="AM63" s="57">
        <v>0</v>
      </c>
      <c r="AN63" s="58">
        <v>720000</v>
      </c>
      <c r="AO63" s="58">
        <v>7754152</v>
      </c>
      <c r="AP63" s="64" t="s">
        <v>52</v>
      </c>
      <c r="AQ63" s="69">
        <v>2025</v>
      </c>
      <c r="AR63" s="64">
        <v>0</v>
      </c>
      <c r="AS63" s="64">
        <v>0</v>
      </c>
      <c r="AT63" s="64">
        <v>0</v>
      </c>
      <c r="AU63" s="64">
        <v>0</v>
      </c>
      <c r="AV63">
        <v>1</v>
      </c>
      <c r="AW63">
        <v>0</v>
      </c>
      <c r="AX63" s="64">
        <v>0</v>
      </c>
      <c r="AY63" s="64"/>
      <c r="AZ63" s="64">
        <f t="shared" si="0"/>
        <v>1</v>
      </c>
      <c r="BA63" s="64" t="s">
        <v>205</v>
      </c>
    </row>
    <row r="64" spans="1:53" ht="14.25" customHeight="1" x14ac:dyDescent="0.3">
      <c r="A64" s="64" t="s">
        <v>149</v>
      </c>
      <c r="B64" s="69" t="s">
        <v>159</v>
      </c>
      <c r="C64" s="64">
        <v>5856</v>
      </c>
      <c r="D64" s="64">
        <v>41</v>
      </c>
      <c r="E64" s="64">
        <v>588</v>
      </c>
      <c r="F64" s="64">
        <v>1182</v>
      </c>
      <c r="G64" s="64">
        <v>820</v>
      </c>
      <c r="H64" s="64">
        <v>76</v>
      </c>
      <c r="I64" s="64">
        <v>325395900</v>
      </c>
      <c r="J64" s="64">
        <v>74196</v>
      </c>
      <c r="K64" s="64">
        <v>54842</v>
      </c>
      <c r="L64" s="64">
        <v>2648</v>
      </c>
      <c r="M64" s="64">
        <v>2.11</v>
      </c>
      <c r="N64" s="64">
        <v>503</v>
      </c>
      <c r="O64" s="64">
        <v>51</v>
      </c>
      <c r="P64" s="64">
        <v>3148</v>
      </c>
      <c r="Q64" s="73">
        <v>5</v>
      </c>
      <c r="R64" s="73">
        <v>11</v>
      </c>
      <c r="S64" s="73">
        <v>9</v>
      </c>
      <c r="T64" s="73">
        <v>25</v>
      </c>
      <c r="U64" s="56">
        <v>10.773</v>
      </c>
      <c r="V64" s="56">
        <v>1.1511</v>
      </c>
      <c r="W64" s="56">
        <v>4.5999999999999999E-2</v>
      </c>
      <c r="X64" s="56">
        <v>838.99</v>
      </c>
      <c r="Y64" s="56">
        <v>1.4E-3</v>
      </c>
      <c r="Z64" s="56">
        <v>0.3206</v>
      </c>
      <c r="AA64" s="57">
        <v>0</v>
      </c>
      <c r="AB64" s="57">
        <v>0</v>
      </c>
      <c r="AC64" s="56">
        <v>0.56059999999999999</v>
      </c>
      <c r="AD64" s="56">
        <v>9264.58</v>
      </c>
      <c r="AE64" s="56">
        <v>0.56989999999999996</v>
      </c>
      <c r="AF64" s="56">
        <v>6.83E-2</v>
      </c>
      <c r="AG64" s="56">
        <v>0.13150000000000001</v>
      </c>
      <c r="AH64" s="56">
        <v>7.6071999999999997</v>
      </c>
      <c r="AI64" s="58">
        <v>6992730</v>
      </c>
      <c r="AJ64" s="58">
        <v>3140444</v>
      </c>
      <c r="AK64" s="58">
        <v>0</v>
      </c>
      <c r="AL64" s="58">
        <v>5860000</v>
      </c>
      <c r="AM64" s="57">
        <v>0</v>
      </c>
      <c r="AN64" s="58">
        <v>2504002</v>
      </c>
      <c r="AO64" s="58">
        <v>5860000</v>
      </c>
      <c r="AP64" s="64" t="s">
        <v>59</v>
      </c>
      <c r="AQ64" s="69">
        <v>2021</v>
      </c>
      <c r="AR64" s="64">
        <v>0</v>
      </c>
      <c r="AS64" s="64">
        <v>0</v>
      </c>
      <c r="AT64" s="64">
        <v>0</v>
      </c>
      <c r="AU64" s="64">
        <v>0</v>
      </c>
      <c r="AV64">
        <v>0</v>
      </c>
      <c r="AW64">
        <v>0</v>
      </c>
      <c r="AX64" s="64">
        <v>0</v>
      </c>
      <c r="AY64" s="64"/>
      <c r="AZ64" s="64">
        <f t="shared" si="0"/>
        <v>0</v>
      </c>
      <c r="BA64" s="64" t="s">
        <v>207</v>
      </c>
    </row>
    <row r="65" spans="1:53" ht="14.25" customHeight="1" x14ac:dyDescent="0.3">
      <c r="A65" s="64" t="s">
        <v>150</v>
      </c>
      <c r="B65" s="69" t="s">
        <v>159</v>
      </c>
      <c r="C65" s="64">
        <v>49259</v>
      </c>
      <c r="D65" s="64">
        <v>38.5</v>
      </c>
      <c r="E65" s="64">
        <v>5680</v>
      </c>
      <c r="F65" s="64">
        <v>9821</v>
      </c>
      <c r="G65" s="64">
        <v>4992</v>
      </c>
      <c r="H65" s="64">
        <v>764</v>
      </c>
      <c r="I65" s="64">
        <v>2277261000</v>
      </c>
      <c r="J65" s="64">
        <v>83212</v>
      </c>
      <c r="K65" s="64">
        <v>46784</v>
      </c>
      <c r="L65" s="64">
        <v>20844</v>
      </c>
      <c r="M65" s="64">
        <v>2.35</v>
      </c>
      <c r="N65" s="64">
        <v>3486</v>
      </c>
      <c r="O65" s="64">
        <v>1172</v>
      </c>
      <c r="P65" s="64">
        <v>27182</v>
      </c>
      <c r="Q65" s="73">
        <v>5</v>
      </c>
      <c r="R65" s="73">
        <v>5</v>
      </c>
      <c r="S65" s="73">
        <v>9</v>
      </c>
      <c r="T65" s="73">
        <v>19</v>
      </c>
      <c r="U65" s="56">
        <v>4.6622000000000003</v>
      </c>
      <c r="V65" s="56">
        <v>0.1051</v>
      </c>
      <c r="W65" s="56">
        <v>0.19259999999999999</v>
      </c>
      <c r="X65" s="56">
        <v>827</v>
      </c>
      <c r="Y65" s="56">
        <v>1.15E-2</v>
      </c>
      <c r="Z65" s="56">
        <v>0.31540000000000001</v>
      </c>
      <c r="AA65" s="56">
        <v>6.9699999999999998E-2</v>
      </c>
      <c r="AB65" s="56">
        <v>8.9399999999999993E-2</v>
      </c>
      <c r="AC65" s="56">
        <v>0.62529999999999997</v>
      </c>
      <c r="AD65" s="56">
        <v>1917.63</v>
      </c>
      <c r="AE65" s="56">
        <v>0.83540000000000003</v>
      </c>
      <c r="AF65" s="56">
        <v>0.10199999999999999</v>
      </c>
      <c r="AG65" s="56">
        <v>0.39829999999999999</v>
      </c>
      <c r="AH65" s="56">
        <v>2.5110000000000001</v>
      </c>
      <c r="AI65" s="58">
        <v>21169306</v>
      </c>
      <c r="AJ65" s="58">
        <v>4204434</v>
      </c>
      <c r="AK65" s="58">
        <v>2155000</v>
      </c>
      <c r="AL65" s="58">
        <v>28428683</v>
      </c>
      <c r="AM65" s="57">
        <v>0</v>
      </c>
      <c r="AN65" s="58">
        <v>4455000</v>
      </c>
      <c r="AO65" s="58">
        <v>31194301</v>
      </c>
      <c r="AP65" s="64" t="s">
        <v>52</v>
      </c>
      <c r="AQ65" s="69">
        <v>2024</v>
      </c>
      <c r="AR65" s="64">
        <v>0</v>
      </c>
      <c r="AS65" s="64">
        <v>0</v>
      </c>
      <c r="AT65" s="64">
        <v>0</v>
      </c>
      <c r="AU65" s="64">
        <v>0</v>
      </c>
      <c r="AV65">
        <v>1</v>
      </c>
      <c r="AW65">
        <v>0</v>
      </c>
      <c r="AX65" s="64">
        <v>0</v>
      </c>
      <c r="AY65" s="64"/>
      <c r="AZ65" s="64">
        <f t="shared" si="0"/>
        <v>1</v>
      </c>
      <c r="BA65" s="64" t="s">
        <v>207</v>
      </c>
    </row>
    <row r="66" spans="1:53" ht="14.25" customHeight="1" x14ac:dyDescent="0.3">
      <c r="A66" s="64" t="s">
        <v>151</v>
      </c>
      <c r="B66" s="69" t="s">
        <v>159</v>
      </c>
      <c r="C66" s="64">
        <v>6218</v>
      </c>
      <c r="D66" s="64">
        <v>38.5</v>
      </c>
      <c r="E66" s="64">
        <v>644</v>
      </c>
      <c r="F66" s="64">
        <v>1550</v>
      </c>
      <c r="G66" s="64">
        <v>553</v>
      </c>
      <c r="H66" s="64">
        <v>65</v>
      </c>
      <c r="I66" s="64">
        <v>320374300</v>
      </c>
      <c r="J66" s="64">
        <v>107121</v>
      </c>
      <c r="K66" s="64">
        <v>51817</v>
      </c>
      <c r="L66" s="64">
        <v>2542</v>
      </c>
      <c r="M66" s="64">
        <v>2.4300000000000002</v>
      </c>
      <c r="N66" s="64">
        <v>311</v>
      </c>
      <c r="O66" s="64">
        <v>213</v>
      </c>
      <c r="P66" s="64">
        <v>3445</v>
      </c>
      <c r="Q66" s="73">
        <v>4</v>
      </c>
      <c r="R66" s="73">
        <v>9</v>
      </c>
      <c r="S66" s="73">
        <v>9</v>
      </c>
      <c r="T66" s="73">
        <v>22</v>
      </c>
      <c r="U66" s="56">
        <v>5.5049999999999999</v>
      </c>
      <c r="V66" s="56">
        <v>0.45850000000000002</v>
      </c>
      <c r="W66" s="56">
        <v>0.1399</v>
      </c>
      <c r="X66" s="56">
        <v>867.26</v>
      </c>
      <c r="Y66" s="56">
        <v>9.6799999999999997E-2</v>
      </c>
      <c r="Z66" s="56">
        <v>3.3E-3</v>
      </c>
      <c r="AA66" s="56">
        <v>0.13750000000000001</v>
      </c>
      <c r="AB66" s="56">
        <v>0.1108</v>
      </c>
      <c r="AC66" s="56">
        <v>0.69259999999999999</v>
      </c>
      <c r="AD66" s="56">
        <v>3895.18</v>
      </c>
      <c r="AE66" s="56">
        <v>0.67889999999999995</v>
      </c>
      <c r="AF66" s="56">
        <v>0.16619999999999999</v>
      </c>
      <c r="AG66" s="56">
        <v>0.20979999999999999</v>
      </c>
      <c r="AH66" s="56">
        <v>4.766</v>
      </c>
      <c r="AI66" s="58">
        <v>31059194</v>
      </c>
      <c r="AJ66" s="58">
        <v>27256653</v>
      </c>
      <c r="AK66" s="58">
        <v>44020731</v>
      </c>
      <c r="AL66" s="57">
        <v>0</v>
      </c>
      <c r="AM66" s="57">
        <v>0</v>
      </c>
      <c r="AN66" s="58">
        <v>39284494</v>
      </c>
      <c r="AO66" s="58">
        <v>44896360</v>
      </c>
      <c r="AP66" s="64" t="s">
        <v>52</v>
      </c>
      <c r="AQ66" s="69">
        <v>2025</v>
      </c>
      <c r="AR66" s="64">
        <v>0</v>
      </c>
      <c r="AS66" s="64">
        <v>0</v>
      </c>
      <c r="AT66" s="64">
        <v>0</v>
      </c>
      <c r="AU66" s="64">
        <v>0</v>
      </c>
      <c r="AV66">
        <v>0</v>
      </c>
      <c r="AW66">
        <v>0</v>
      </c>
      <c r="AX66" s="64">
        <v>0</v>
      </c>
      <c r="AY66" s="64"/>
      <c r="AZ66" s="64">
        <f t="shared" si="0"/>
        <v>0</v>
      </c>
      <c r="BA66" s="64" t="s">
        <v>206</v>
      </c>
    </row>
    <row r="67" spans="1:53" ht="14.25" customHeight="1" x14ac:dyDescent="0.3">
      <c r="A67" s="64" t="s">
        <v>152</v>
      </c>
      <c r="B67" s="69" t="s">
        <v>159</v>
      </c>
      <c r="C67" s="64">
        <v>57950</v>
      </c>
      <c r="D67" s="64">
        <v>36.9</v>
      </c>
      <c r="E67" s="64">
        <v>4197</v>
      </c>
      <c r="F67" s="64">
        <v>17184</v>
      </c>
      <c r="G67" s="64">
        <v>7999</v>
      </c>
      <c r="H67" s="64">
        <v>1129</v>
      </c>
      <c r="I67" s="64">
        <v>3749527800</v>
      </c>
      <c r="J67" s="64">
        <v>101109</v>
      </c>
      <c r="K67" s="64">
        <v>66293</v>
      </c>
      <c r="L67" s="64">
        <v>29110</v>
      </c>
      <c r="M67" s="64">
        <v>1.98</v>
      </c>
      <c r="N67" s="64">
        <v>3574</v>
      </c>
      <c r="O67" s="64">
        <v>1312</v>
      </c>
      <c r="P67" s="64">
        <v>37320</v>
      </c>
      <c r="Q67" s="73">
        <v>8</v>
      </c>
      <c r="R67" s="73">
        <v>15</v>
      </c>
      <c r="S67" s="73">
        <v>15</v>
      </c>
      <c r="T67" s="73">
        <v>38</v>
      </c>
      <c r="U67" s="56">
        <v>17.200600000000001</v>
      </c>
      <c r="V67" s="56">
        <v>-1.1135999999999999</v>
      </c>
      <c r="W67" s="56">
        <v>0.21690000000000001</v>
      </c>
      <c r="X67" s="56">
        <v>2342.19</v>
      </c>
      <c r="Y67" s="56">
        <v>6.4299999999999996E-2</v>
      </c>
      <c r="Z67" s="56">
        <v>0.39019999999999999</v>
      </c>
      <c r="AA67" s="57">
        <v>0</v>
      </c>
      <c r="AB67" s="57">
        <v>0</v>
      </c>
      <c r="AC67" s="56">
        <v>0.70660000000000001</v>
      </c>
      <c r="AD67" s="56">
        <v>5953.08</v>
      </c>
      <c r="AE67" s="56">
        <v>1.1263000000000001</v>
      </c>
      <c r="AF67" s="56">
        <v>0.26900000000000002</v>
      </c>
      <c r="AG67" s="56">
        <v>0.44679999999999997</v>
      </c>
      <c r="AH67" s="56">
        <v>2.2382</v>
      </c>
      <c r="AI67" s="58">
        <v>64701424</v>
      </c>
      <c r="AJ67" s="58">
        <v>7867569</v>
      </c>
      <c r="AK67" s="58">
        <v>119775009</v>
      </c>
      <c r="AL67" s="58">
        <v>18085000</v>
      </c>
      <c r="AM67" s="57">
        <v>0</v>
      </c>
      <c r="AN67" s="58">
        <v>660640</v>
      </c>
      <c r="AO67" s="58">
        <v>147101701</v>
      </c>
      <c r="AP67" s="64" t="s">
        <v>59</v>
      </c>
      <c r="AQ67" s="69">
        <v>2022</v>
      </c>
      <c r="AR67" s="64">
        <v>0</v>
      </c>
      <c r="AS67" s="64">
        <v>0</v>
      </c>
      <c r="AT67" s="64">
        <v>1</v>
      </c>
      <c r="AU67" s="64">
        <v>0</v>
      </c>
      <c r="AV67">
        <v>1</v>
      </c>
      <c r="AW67">
        <v>0</v>
      </c>
      <c r="AX67" s="64">
        <v>0</v>
      </c>
      <c r="AY67" s="64"/>
      <c r="AZ67" s="64">
        <f t="shared" ref="AZ67:AZ118" si="1">SUM(AR67:AX67)</f>
        <v>2</v>
      </c>
      <c r="BA67" s="64">
        <v>2</v>
      </c>
    </row>
    <row r="68" spans="1:53" ht="14.25" customHeight="1" x14ac:dyDescent="0.3">
      <c r="A68" s="64" t="s">
        <v>153</v>
      </c>
      <c r="B68" s="69" t="s">
        <v>159</v>
      </c>
      <c r="C68" s="64">
        <v>766</v>
      </c>
      <c r="D68" s="64">
        <v>53.9</v>
      </c>
      <c r="E68" s="64">
        <v>43</v>
      </c>
      <c r="F68" s="64">
        <v>304</v>
      </c>
      <c r="G68" s="64">
        <v>131</v>
      </c>
      <c r="H68" s="64">
        <v>23</v>
      </c>
      <c r="I68" s="64">
        <v>82762200</v>
      </c>
      <c r="J68" s="64">
        <v>121178</v>
      </c>
      <c r="K68" s="64">
        <v>106555</v>
      </c>
      <c r="L68" s="64">
        <v>417</v>
      </c>
      <c r="M68" s="64">
        <v>1.84</v>
      </c>
      <c r="N68" s="64">
        <v>84</v>
      </c>
      <c r="O68" s="64">
        <v>7</v>
      </c>
      <c r="P68" s="64">
        <v>391</v>
      </c>
      <c r="Q68" s="73">
        <v>4</v>
      </c>
      <c r="R68" s="73">
        <v>5</v>
      </c>
      <c r="S68" s="73">
        <v>7</v>
      </c>
      <c r="T68" s="73">
        <v>16</v>
      </c>
      <c r="U68" s="56">
        <v>45.815899999999999</v>
      </c>
      <c r="V68" s="56">
        <v>0.71430000000000005</v>
      </c>
      <c r="W68" s="56">
        <v>2.0899999999999998E-2</v>
      </c>
      <c r="X68" s="56">
        <v>98.33</v>
      </c>
      <c r="Y68" s="56">
        <v>4.1999999999999997E-3</v>
      </c>
      <c r="Z68" s="56">
        <v>0.32279999999999998</v>
      </c>
      <c r="AA68" s="57">
        <v>0</v>
      </c>
      <c r="AB68" s="57">
        <v>0</v>
      </c>
      <c r="AC68" s="56">
        <v>0.40210000000000001</v>
      </c>
      <c r="AD68" s="56">
        <v>1800.93</v>
      </c>
      <c r="AE68" s="56">
        <v>0.4</v>
      </c>
      <c r="AF68" s="56">
        <v>0.4627</v>
      </c>
      <c r="AG68" s="56">
        <v>6.1600000000000002E-2</v>
      </c>
      <c r="AH68" s="56">
        <v>16.225899999999999</v>
      </c>
      <c r="AI68" s="58">
        <v>1770700</v>
      </c>
      <c r="AJ68" s="58">
        <v>1335622</v>
      </c>
      <c r="AK68" s="58">
        <v>351000</v>
      </c>
      <c r="AL68" s="57">
        <v>0</v>
      </c>
      <c r="AM68" s="57">
        <v>0</v>
      </c>
      <c r="AN68" s="58">
        <v>119155</v>
      </c>
      <c r="AO68" s="58">
        <v>351000</v>
      </c>
      <c r="AP68" s="64" t="s">
        <v>59</v>
      </c>
      <c r="AQ68" s="69">
        <v>2024</v>
      </c>
      <c r="AR68" s="64">
        <v>0</v>
      </c>
      <c r="AS68" s="64">
        <v>0</v>
      </c>
      <c r="AT68" s="64">
        <v>0</v>
      </c>
      <c r="AU68" s="64">
        <v>0</v>
      </c>
      <c r="AV68">
        <v>0</v>
      </c>
      <c r="AW68">
        <v>0</v>
      </c>
      <c r="AX68" s="64">
        <v>0</v>
      </c>
      <c r="AY68" s="64"/>
      <c r="AZ68" s="64">
        <f t="shared" si="1"/>
        <v>0</v>
      </c>
      <c r="BA68" s="64" t="s">
        <v>207</v>
      </c>
    </row>
    <row r="69" spans="1:53" ht="14.25" customHeight="1" x14ac:dyDescent="0.3">
      <c r="A69" s="64" t="s">
        <v>154</v>
      </c>
      <c r="B69" s="69" t="s">
        <v>159</v>
      </c>
      <c r="C69" s="64">
        <v>133573</v>
      </c>
      <c r="D69" s="64">
        <v>41.7</v>
      </c>
      <c r="E69" s="64">
        <v>23272</v>
      </c>
      <c r="F69" s="64">
        <v>20013</v>
      </c>
      <c r="G69" s="64">
        <v>7631</v>
      </c>
      <c r="H69" s="64">
        <v>864</v>
      </c>
      <c r="I69" s="64">
        <v>5036756600</v>
      </c>
      <c r="J69" s="64">
        <v>79909</v>
      </c>
      <c r="K69" s="64">
        <v>38084</v>
      </c>
      <c r="L69" s="64">
        <v>51736</v>
      </c>
      <c r="M69" s="64">
        <v>2.57</v>
      </c>
      <c r="N69" s="64">
        <v>14676</v>
      </c>
      <c r="O69" s="64">
        <v>4119</v>
      </c>
      <c r="P69" s="64">
        <v>67993</v>
      </c>
      <c r="Q69" s="73">
        <v>5</v>
      </c>
      <c r="R69" s="73">
        <v>12</v>
      </c>
      <c r="S69" s="73">
        <v>8</v>
      </c>
      <c r="T69" s="73">
        <v>25</v>
      </c>
      <c r="U69" s="56">
        <v>3.5520999999999998</v>
      </c>
      <c r="V69" s="56">
        <v>-0.73570000000000002</v>
      </c>
      <c r="W69" s="56">
        <v>0.24490000000000001</v>
      </c>
      <c r="X69" s="56">
        <v>1427.95</v>
      </c>
      <c r="Y69" s="56">
        <v>0.10050000000000001</v>
      </c>
      <c r="Z69" s="56">
        <v>0.3896</v>
      </c>
      <c r="AA69" s="56">
        <v>4.4600000000000001E-2</v>
      </c>
      <c r="AB69" s="56">
        <v>0.1036</v>
      </c>
      <c r="AC69" s="56">
        <v>0.78220000000000001</v>
      </c>
      <c r="AD69" s="56">
        <v>3316.38</v>
      </c>
      <c r="AE69" s="56">
        <v>1.3492999999999999</v>
      </c>
      <c r="AF69" s="56">
        <v>0.12379999999999999</v>
      </c>
      <c r="AG69" s="56">
        <v>0.59419999999999995</v>
      </c>
      <c r="AH69" s="56">
        <v>1.6829000000000001</v>
      </c>
      <c r="AI69" s="58">
        <v>93981744</v>
      </c>
      <c r="AJ69" s="58">
        <v>16034137</v>
      </c>
      <c r="AK69" s="58">
        <v>64300987</v>
      </c>
      <c r="AL69" s="58">
        <v>88266709</v>
      </c>
      <c r="AM69" s="57">
        <v>0</v>
      </c>
      <c r="AN69" s="58">
        <v>17992917</v>
      </c>
      <c r="AO69" s="58">
        <v>188717709</v>
      </c>
      <c r="AP69" s="64" t="s">
        <v>52</v>
      </c>
      <c r="AQ69" s="69">
        <v>2021</v>
      </c>
      <c r="AR69" s="64">
        <v>0</v>
      </c>
      <c r="AS69" s="64">
        <v>0</v>
      </c>
      <c r="AT69" s="64">
        <v>1</v>
      </c>
      <c r="AU69" s="64">
        <v>0</v>
      </c>
      <c r="AV69">
        <v>0</v>
      </c>
      <c r="AW69">
        <v>0</v>
      </c>
      <c r="AX69" s="64">
        <v>0</v>
      </c>
      <c r="AY69" s="64"/>
      <c r="AZ69" s="64">
        <f t="shared" si="1"/>
        <v>1</v>
      </c>
      <c r="BA69" s="64" t="s">
        <v>206</v>
      </c>
    </row>
    <row r="70" spans="1:53" ht="14.25" customHeight="1" x14ac:dyDescent="0.3">
      <c r="A70" s="64" t="s">
        <v>155</v>
      </c>
      <c r="B70" s="69" t="s">
        <v>159</v>
      </c>
      <c r="C70" s="64">
        <v>15593</v>
      </c>
      <c r="D70" s="64">
        <v>42.7</v>
      </c>
      <c r="E70" s="64">
        <v>1599</v>
      </c>
      <c r="F70" s="64">
        <v>2881</v>
      </c>
      <c r="G70" s="64">
        <v>2028</v>
      </c>
      <c r="H70" s="64">
        <v>223</v>
      </c>
      <c r="I70" s="64">
        <v>814022200</v>
      </c>
      <c r="J70" s="64">
        <v>74087</v>
      </c>
      <c r="K70" s="64">
        <v>53432</v>
      </c>
      <c r="L70" s="64">
        <v>7191</v>
      </c>
      <c r="M70" s="64">
        <v>2.06</v>
      </c>
      <c r="N70" s="64">
        <v>1840</v>
      </c>
      <c r="O70" s="64">
        <v>431</v>
      </c>
      <c r="P70" s="64">
        <v>8267</v>
      </c>
      <c r="Q70" s="73">
        <v>5</v>
      </c>
      <c r="R70" s="73">
        <v>8</v>
      </c>
      <c r="S70" s="73">
        <v>14</v>
      </c>
      <c r="T70" s="73">
        <v>27</v>
      </c>
      <c r="U70" s="56">
        <v>9.7431999999999999</v>
      </c>
      <c r="V70" s="56">
        <v>0.1361</v>
      </c>
      <c r="W70" s="56">
        <v>4.3400000000000001E-2</v>
      </c>
      <c r="X70" s="56">
        <v>707.46</v>
      </c>
      <c r="Y70" s="56">
        <v>6.3E-3</v>
      </c>
      <c r="Z70" s="56">
        <v>0.57999999999999996</v>
      </c>
      <c r="AA70" s="56">
        <v>1.34E-2</v>
      </c>
      <c r="AB70" s="56">
        <v>1.6799999999999999E-2</v>
      </c>
      <c r="AC70" s="56">
        <v>0.70440000000000003</v>
      </c>
      <c r="AD70" s="56">
        <v>8157.69</v>
      </c>
      <c r="AE70" s="56">
        <v>0.83830000000000005</v>
      </c>
      <c r="AF70" s="56">
        <v>0.12939999999999999</v>
      </c>
      <c r="AG70" s="56">
        <v>0.2339</v>
      </c>
      <c r="AH70" s="56">
        <v>4.2744</v>
      </c>
      <c r="AI70" s="58">
        <v>22066336</v>
      </c>
      <c r="AJ70" s="58">
        <v>11671482</v>
      </c>
      <c r="AK70" s="58">
        <v>6785033</v>
      </c>
      <c r="AL70" s="58">
        <v>6789993</v>
      </c>
      <c r="AM70" s="57">
        <v>0</v>
      </c>
      <c r="AN70" s="58">
        <v>8222047</v>
      </c>
      <c r="AO70" s="58">
        <v>13569993</v>
      </c>
      <c r="AP70" s="64" t="s">
        <v>59</v>
      </c>
      <c r="AQ70" s="69">
        <v>2024</v>
      </c>
      <c r="AR70" s="64">
        <v>0</v>
      </c>
      <c r="AS70" s="64">
        <v>0</v>
      </c>
      <c r="AT70" s="64">
        <v>0</v>
      </c>
      <c r="AU70" s="64">
        <v>0</v>
      </c>
      <c r="AV70">
        <v>1</v>
      </c>
      <c r="AW70">
        <v>0</v>
      </c>
      <c r="AX70" s="64">
        <v>0</v>
      </c>
      <c r="AY70" s="64"/>
      <c r="AZ70" s="64">
        <f t="shared" si="1"/>
        <v>1</v>
      </c>
      <c r="BA70" s="64" t="s">
        <v>206</v>
      </c>
    </row>
    <row r="71" spans="1:53" ht="14.25" customHeight="1" x14ac:dyDescent="0.3">
      <c r="A71" s="64" t="s">
        <v>156</v>
      </c>
      <c r="B71" s="69" t="s">
        <v>159</v>
      </c>
      <c r="C71" s="64">
        <v>65816</v>
      </c>
      <c r="D71" s="64">
        <v>46.1</v>
      </c>
      <c r="E71" s="64">
        <v>5602</v>
      </c>
      <c r="F71" s="64">
        <v>14693</v>
      </c>
      <c r="G71" s="64">
        <v>8756</v>
      </c>
      <c r="H71" s="64">
        <v>1360</v>
      </c>
      <c r="I71" s="64">
        <v>4275907800</v>
      </c>
      <c r="J71" s="64">
        <v>125453</v>
      </c>
      <c r="K71" s="64">
        <v>66233</v>
      </c>
      <c r="L71" s="64">
        <v>25016</v>
      </c>
      <c r="M71" s="64">
        <v>2.61</v>
      </c>
      <c r="N71" s="64">
        <v>4357</v>
      </c>
      <c r="O71" s="64">
        <v>1899</v>
      </c>
      <c r="P71" s="64">
        <v>33693</v>
      </c>
      <c r="Q71" s="73">
        <v>3</v>
      </c>
      <c r="R71" s="73">
        <v>5</v>
      </c>
      <c r="S71" s="73">
        <v>5</v>
      </c>
      <c r="T71" s="73">
        <v>13</v>
      </c>
      <c r="U71" s="56">
        <v>6.4320000000000004</v>
      </c>
      <c r="V71" s="56">
        <v>0.6381</v>
      </c>
      <c r="W71" s="56">
        <v>0.19040000000000001</v>
      </c>
      <c r="X71" s="56">
        <v>1122.6600000000001</v>
      </c>
      <c r="Y71" s="56">
        <v>1.9199999999999998E-2</v>
      </c>
      <c r="Z71" s="56">
        <v>0.19209999999999999</v>
      </c>
      <c r="AA71" s="56">
        <v>4.5900000000000003E-2</v>
      </c>
      <c r="AB71" s="56">
        <v>6.1800000000000001E-2</v>
      </c>
      <c r="AC71" s="56">
        <v>0.4929</v>
      </c>
      <c r="AD71" s="56">
        <v>2744.09</v>
      </c>
      <c r="AE71" s="56">
        <v>0.68710000000000004</v>
      </c>
      <c r="AF71" s="56">
        <v>6.6600000000000006E-2</v>
      </c>
      <c r="AG71" s="56">
        <v>0.30669999999999997</v>
      </c>
      <c r="AH71" s="56">
        <v>3.2605</v>
      </c>
      <c r="AI71" s="58">
        <v>41821876</v>
      </c>
      <c r="AJ71" s="58">
        <v>9495432</v>
      </c>
      <c r="AK71" s="58">
        <v>52601279</v>
      </c>
      <c r="AL71" s="58">
        <v>24511629</v>
      </c>
      <c r="AM71" s="57">
        <v>0</v>
      </c>
      <c r="AN71" s="58">
        <v>1554256</v>
      </c>
      <c r="AO71" s="58">
        <v>79088789</v>
      </c>
      <c r="AP71" s="64" t="s">
        <v>52</v>
      </c>
      <c r="AQ71" s="69">
        <v>2024</v>
      </c>
      <c r="AR71" s="64">
        <v>0</v>
      </c>
      <c r="AS71" s="64">
        <v>0</v>
      </c>
      <c r="AT71" s="64">
        <v>0</v>
      </c>
      <c r="AU71" s="64">
        <v>0</v>
      </c>
      <c r="AV71">
        <v>1</v>
      </c>
      <c r="AW71">
        <v>0</v>
      </c>
      <c r="AX71" s="64">
        <v>0</v>
      </c>
      <c r="AY71" s="64"/>
      <c r="AZ71" s="64">
        <f t="shared" si="1"/>
        <v>1</v>
      </c>
      <c r="BA71" s="64" t="s">
        <v>206</v>
      </c>
    </row>
    <row r="72" spans="1:53" ht="14.25" customHeight="1" x14ac:dyDescent="0.3">
      <c r="A72" s="64" t="s">
        <v>157</v>
      </c>
      <c r="B72" s="69" t="s">
        <v>159</v>
      </c>
      <c r="C72" s="64">
        <v>83633</v>
      </c>
      <c r="D72" s="64">
        <v>38.1</v>
      </c>
      <c r="E72" s="64">
        <v>16472</v>
      </c>
      <c r="F72" s="64">
        <v>9703</v>
      </c>
      <c r="G72" s="64">
        <v>3083</v>
      </c>
      <c r="H72" s="64">
        <v>234</v>
      </c>
      <c r="I72" s="64">
        <v>2788286400</v>
      </c>
      <c r="J72" s="64">
        <v>62076</v>
      </c>
      <c r="K72" s="64">
        <v>34530</v>
      </c>
      <c r="L72" s="64">
        <v>35932</v>
      </c>
      <c r="M72" s="64">
        <v>2.2999999999999998</v>
      </c>
      <c r="N72" s="64">
        <v>11845</v>
      </c>
      <c r="O72" s="64">
        <v>2621</v>
      </c>
      <c r="P72" s="64">
        <v>43905</v>
      </c>
      <c r="Q72" s="73">
        <v>2</v>
      </c>
      <c r="R72" s="73">
        <v>1</v>
      </c>
      <c r="S72" s="73">
        <v>2</v>
      </c>
      <c r="T72" s="73">
        <v>5</v>
      </c>
      <c r="U72" s="56">
        <v>2.3020999999999998</v>
      </c>
      <c r="V72" s="56">
        <v>-1.4351</v>
      </c>
      <c r="W72" s="56">
        <v>0.23860000000000001</v>
      </c>
      <c r="X72" s="57">
        <v>0</v>
      </c>
      <c r="Y72" s="56">
        <v>1.41E-2</v>
      </c>
      <c r="Z72" s="56">
        <v>0.25090000000000001</v>
      </c>
      <c r="AA72" s="56">
        <v>1.8800000000000001E-2</v>
      </c>
      <c r="AB72" s="56">
        <v>3.9100000000000003E-2</v>
      </c>
      <c r="AC72" s="56">
        <v>0.77659999999999996</v>
      </c>
      <c r="AD72" s="57">
        <v>0</v>
      </c>
      <c r="AE72" s="56">
        <v>3.8117999999999999</v>
      </c>
      <c r="AF72" s="56">
        <v>0.17230000000000001</v>
      </c>
      <c r="AG72" s="56">
        <v>0.84130000000000005</v>
      </c>
      <c r="AH72" s="56">
        <v>1.1886000000000001</v>
      </c>
      <c r="AI72" s="58">
        <v>38071816</v>
      </c>
      <c r="AJ72" s="58">
        <v>44038243</v>
      </c>
      <c r="AK72" s="58">
        <v>81340000</v>
      </c>
      <c r="AL72" s="57">
        <v>0</v>
      </c>
      <c r="AM72" s="57">
        <v>0</v>
      </c>
      <c r="AN72" s="58">
        <v>5017931</v>
      </c>
      <c r="AO72" s="58">
        <v>83499163</v>
      </c>
      <c r="AP72" s="64" t="s">
        <v>52</v>
      </c>
      <c r="AQ72" s="69">
        <v>2021</v>
      </c>
      <c r="AR72" s="64">
        <v>0</v>
      </c>
      <c r="AS72" s="64">
        <v>0</v>
      </c>
      <c r="AT72" s="64">
        <v>0</v>
      </c>
      <c r="AU72" s="64">
        <v>0</v>
      </c>
      <c r="AV72">
        <v>1</v>
      </c>
      <c r="AW72">
        <v>0</v>
      </c>
      <c r="AX72" s="64">
        <v>0</v>
      </c>
      <c r="AY72" s="64"/>
      <c r="AZ72" s="64">
        <f t="shared" si="1"/>
        <v>1</v>
      </c>
      <c r="BA72" s="64" t="s">
        <v>206</v>
      </c>
    </row>
    <row r="73" spans="1:53" ht="14.25" customHeight="1" x14ac:dyDescent="0.3">
      <c r="A73" s="64" t="s">
        <v>158</v>
      </c>
      <c r="B73" s="69" t="s">
        <v>159</v>
      </c>
      <c r="C73" s="64">
        <v>19857</v>
      </c>
      <c r="D73" s="64">
        <v>27.7</v>
      </c>
      <c r="E73" s="64">
        <v>1608</v>
      </c>
      <c r="F73" s="64">
        <v>2808</v>
      </c>
      <c r="G73" s="64">
        <v>1917</v>
      </c>
      <c r="H73" s="64">
        <v>323</v>
      </c>
      <c r="I73" s="64">
        <v>553391700</v>
      </c>
      <c r="J73" s="64">
        <v>46588</v>
      </c>
      <c r="K73" s="64">
        <v>32628</v>
      </c>
      <c r="L73" s="64">
        <v>8790</v>
      </c>
      <c r="M73" s="64">
        <v>1.96</v>
      </c>
      <c r="N73" s="64">
        <v>4295</v>
      </c>
      <c r="O73" s="64">
        <v>972</v>
      </c>
      <c r="P73" s="64">
        <v>11431</v>
      </c>
      <c r="Q73" s="73">
        <v>5</v>
      </c>
      <c r="R73" s="73">
        <v>8</v>
      </c>
      <c r="S73" s="73">
        <v>9</v>
      </c>
      <c r="T73" s="73">
        <v>22</v>
      </c>
      <c r="U73" s="57">
        <v>0</v>
      </c>
      <c r="V73" s="56">
        <v>-0.33629999999999999</v>
      </c>
      <c r="W73" s="56">
        <v>0.16120000000000001</v>
      </c>
      <c r="X73" s="56">
        <v>467.46</v>
      </c>
      <c r="Y73" s="56">
        <v>8.8000000000000005E-3</v>
      </c>
      <c r="Z73" s="56">
        <v>0.43559999999999999</v>
      </c>
      <c r="AA73" s="57">
        <v>0</v>
      </c>
      <c r="AB73" s="57">
        <v>0</v>
      </c>
      <c r="AC73" s="56">
        <v>0.29570000000000002</v>
      </c>
      <c r="AD73" s="56">
        <v>776.04</v>
      </c>
      <c r="AE73" s="56">
        <v>0.86909999999999998</v>
      </c>
      <c r="AF73" s="56">
        <v>0.5806</v>
      </c>
      <c r="AG73" s="56">
        <v>0.67649999999999999</v>
      </c>
      <c r="AH73" s="56">
        <v>1.4782</v>
      </c>
      <c r="AI73" s="58">
        <v>13150627</v>
      </c>
      <c r="AJ73" s="58">
        <v>10110650</v>
      </c>
      <c r="AK73" s="58">
        <v>4900000</v>
      </c>
      <c r="AL73" s="58">
        <v>5426984</v>
      </c>
      <c r="AM73" s="57">
        <v>0</v>
      </c>
      <c r="AN73" s="57">
        <v>0</v>
      </c>
      <c r="AO73" s="58">
        <v>12078128</v>
      </c>
      <c r="AP73" s="64" t="s">
        <v>52</v>
      </c>
      <c r="AQ73" s="69">
        <v>2023</v>
      </c>
      <c r="AR73" s="64">
        <v>0</v>
      </c>
      <c r="AS73" s="64">
        <v>0</v>
      </c>
      <c r="AT73" s="64">
        <v>0</v>
      </c>
      <c r="AU73" s="64">
        <v>0</v>
      </c>
      <c r="AV73">
        <v>1</v>
      </c>
      <c r="AW73">
        <v>0</v>
      </c>
      <c r="AX73" s="64">
        <v>0</v>
      </c>
      <c r="AY73" s="64"/>
      <c r="AZ73" s="64">
        <f t="shared" si="1"/>
        <v>1</v>
      </c>
      <c r="BA73" s="64" t="s">
        <v>206</v>
      </c>
    </row>
    <row r="74" spans="1:53" x14ac:dyDescent="0.3">
      <c r="A74" s="55" t="s">
        <v>161</v>
      </c>
      <c r="B74" s="64" t="s">
        <v>160</v>
      </c>
      <c r="C74" s="64">
        <v>7902</v>
      </c>
      <c r="D74" s="64">
        <v>40.9</v>
      </c>
      <c r="E74" s="64">
        <v>1541</v>
      </c>
      <c r="F74" s="64">
        <v>1072</v>
      </c>
      <c r="G74" s="64">
        <v>423</v>
      </c>
      <c r="H74" s="64">
        <v>28</v>
      </c>
      <c r="I74" s="64">
        <v>239144500</v>
      </c>
      <c r="J74" s="64">
        <v>54529</v>
      </c>
      <c r="K74" s="64">
        <v>32135</v>
      </c>
      <c r="L74" s="64">
        <v>3399</v>
      </c>
      <c r="M74" s="64">
        <v>2.16</v>
      </c>
      <c r="N74" s="64">
        <v>1306</v>
      </c>
      <c r="O74" s="64">
        <v>153</v>
      </c>
      <c r="P74" s="64">
        <v>4126</v>
      </c>
      <c r="Q74" s="73">
        <v>6</v>
      </c>
      <c r="R74" s="73">
        <v>9</v>
      </c>
      <c r="S74" s="73">
        <v>11</v>
      </c>
      <c r="T74" s="73">
        <v>26</v>
      </c>
      <c r="U74" s="56">
        <v>2.7968999999999999</v>
      </c>
      <c r="V74" s="56">
        <v>0.25629999999999997</v>
      </c>
      <c r="W74" s="56">
        <v>0.16980000000000001</v>
      </c>
      <c r="X74" s="56">
        <v>3218.6</v>
      </c>
      <c r="Y74" s="56">
        <v>2.6100000000000002E-2</v>
      </c>
      <c r="Z74" s="56">
        <v>2.18E-2</v>
      </c>
      <c r="AA74" s="56">
        <v>3.5700000000000003E-2</v>
      </c>
      <c r="AB74" s="56">
        <v>5.67E-2</v>
      </c>
      <c r="AC74" s="56">
        <v>0.81659999999999999</v>
      </c>
      <c r="AD74" s="56">
        <v>14624.87</v>
      </c>
      <c r="AE74" s="56">
        <v>0.89459999999999995</v>
      </c>
      <c r="AF74" s="56">
        <v>5.62E-2</v>
      </c>
      <c r="AG74" s="56">
        <v>0.23069999999999999</v>
      </c>
      <c r="AH74" s="56">
        <v>4.3352000000000004</v>
      </c>
      <c r="AI74" s="58">
        <v>5475087</v>
      </c>
      <c r="AJ74" s="58">
        <v>5595302</v>
      </c>
      <c r="AK74" s="58">
        <v>15192104</v>
      </c>
      <c r="AL74" s="58">
        <v>10553093</v>
      </c>
      <c r="AM74" s="57">
        <v>0</v>
      </c>
      <c r="AN74" s="58">
        <v>8800000</v>
      </c>
      <c r="AO74" s="58">
        <v>26007197</v>
      </c>
      <c r="AP74" s="64" t="s">
        <v>208</v>
      </c>
      <c r="AQ74" s="64">
        <v>2021</v>
      </c>
      <c r="AR74" s="64">
        <v>0</v>
      </c>
      <c r="AS74" s="64">
        <v>0</v>
      </c>
      <c r="AT74" s="64">
        <v>0</v>
      </c>
      <c r="AU74" s="64">
        <v>0</v>
      </c>
      <c r="AV74">
        <v>0</v>
      </c>
      <c r="AW74">
        <v>0</v>
      </c>
      <c r="AX74" s="64">
        <v>0</v>
      </c>
      <c r="AY74" s="64"/>
      <c r="AZ74" s="64">
        <f t="shared" si="1"/>
        <v>0</v>
      </c>
      <c r="BA74" s="64" t="s">
        <v>206</v>
      </c>
    </row>
    <row r="75" spans="1:53" x14ac:dyDescent="0.3">
      <c r="A75" s="55" t="s">
        <v>51</v>
      </c>
      <c r="B75" s="64" t="s">
        <v>160</v>
      </c>
      <c r="C75" s="64">
        <v>41273</v>
      </c>
      <c r="D75" s="64">
        <v>43.8</v>
      </c>
      <c r="E75" s="64">
        <v>3336</v>
      </c>
      <c r="F75" s="64">
        <v>10748</v>
      </c>
      <c r="G75" s="64">
        <v>5094</v>
      </c>
      <c r="H75" s="64">
        <v>947</v>
      </c>
      <c r="I75" s="64">
        <v>2791721400</v>
      </c>
      <c r="J75" s="64">
        <v>129548</v>
      </c>
      <c r="K75" s="64">
        <v>68298</v>
      </c>
      <c r="L75" s="64">
        <v>16127</v>
      </c>
      <c r="M75" s="64">
        <v>2.5299999999999998</v>
      </c>
      <c r="N75" s="64">
        <v>1301</v>
      </c>
      <c r="O75" s="64">
        <v>521</v>
      </c>
      <c r="P75" s="64">
        <v>20665</v>
      </c>
      <c r="Q75" s="73">
        <v>2</v>
      </c>
      <c r="R75" s="73">
        <v>13</v>
      </c>
      <c r="S75" s="73">
        <v>9</v>
      </c>
      <c r="T75" s="73">
        <v>24</v>
      </c>
      <c r="U75" s="56">
        <v>5.8990999999999998</v>
      </c>
      <c r="V75" s="56">
        <v>0.63</v>
      </c>
      <c r="W75" s="56">
        <v>0.1915</v>
      </c>
      <c r="X75" s="56">
        <v>2101.35</v>
      </c>
      <c r="Y75" s="56">
        <v>0.13189999999999999</v>
      </c>
      <c r="Z75" s="56">
        <v>9.0999999999999998E-2</v>
      </c>
      <c r="AA75" s="56">
        <v>0.06</v>
      </c>
      <c r="AB75" s="56">
        <v>9.4399999999999998E-2</v>
      </c>
      <c r="AC75" s="56">
        <v>0.62690000000000001</v>
      </c>
      <c r="AD75" s="56">
        <v>6095.63</v>
      </c>
      <c r="AE75" s="56">
        <v>0.74009999999999998</v>
      </c>
      <c r="AF75" s="56">
        <v>5.1499999999999997E-2</v>
      </c>
      <c r="AG75" s="56">
        <v>0.31269999999999998</v>
      </c>
      <c r="AH75" s="56">
        <v>3.1979000000000002</v>
      </c>
      <c r="AI75" s="58">
        <v>46044763</v>
      </c>
      <c r="AJ75" s="58">
        <v>11036217</v>
      </c>
      <c r="AK75" s="58">
        <v>89775000</v>
      </c>
      <c r="AL75" s="58">
        <v>4455000</v>
      </c>
      <c r="AM75" s="57">
        <v>0</v>
      </c>
      <c r="AN75" s="58">
        <v>6315357</v>
      </c>
      <c r="AO75" s="58">
        <v>94230000</v>
      </c>
      <c r="AP75" s="64" t="s">
        <v>208</v>
      </c>
      <c r="AQ75" s="64">
        <v>2024</v>
      </c>
      <c r="AR75" s="64">
        <v>0</v>
      </c>
      <c r="AS75" s="64">
        <v>0</v>
      </c>
      <c r="AT75" s="64">
        <v>0</v>
      </c>
      <c r="AU75" s="64">
        <v>0</v>
      </c>
      <c r="AV75">
        <v>0</v>
      </c>
      <c r="AW75">
        <v>0</v>
      </c>
      <c r="AX75" s="64">
        <v>0</v>
      </c>
      <c r="AY75" s="64"/>
      <c r="AZ75" s="64">
        <f t="shared" si="1"/>
        <v>0</v>
      </c>
      <c r="BA75" s="64" t="s">
        <v>207</v>
      </c>
    </row>
    <row r="76" spans="1:53" x14ac:dyDescent="0.3">
      <c r="A76" s="55" t="s">
        <v>162</v>
      </c>
      <c r="B76" s="64" t="s">
        <v>160</v>
      </c>
      <c r="C76" s="64">
        <v>10987</v>
      </c>
      <c r="D76" s="64">
        <v>40.200000000000003</v>
      </c>
      <c r="E76" s="64">
        <v>2167</v>
      </c>
      <c r="F76" s="64">
        <v>1222</v>
      </c>
      <c r="G76" s="64">
        <v>713</v>
      </c>
      <c r="H76" s="64">
        <v>46</v>
      </c>
      <c r="I76" s="64">
        <v>518192700</v>
      </c>
      <c r="J76" s="64">
        <v>83419</v>
      </c>
      <c r="K76" s="64">
        <v>47384</v>
      </c>
      <c r="L76" s="64">
        <v>4626</v>
      </c>
      <c r="M76" s="64">
        <v>2.34</v>
      </c>
      <c r="N76" s="64">
        <v>758</v>
      </c>
      <c r="O76" s="64">
        <v>191</v>
      </c>
      <c r="P76" s="64">
        <v>5979</v>
      </c>
      <c r="Q76" s="73">
        <v>7</v>
      </c>
      <c r="R76" s="73">
        <v>11</v>
      </c>
      <c r="S76" s="73">
        <v>9</v>
      </c>
      <c r="T76" s="73">
        <v>27</v>
      </c>
      <c r="U76" s="56">
        <v>6.1708999999999996</v>
      </c>
      <c r="V76" s="56">
        <v>0.75270000000000004</v>
      </c>
      <c r="W76" s="56">
        <v>0.27989999999999998</v>
      </c>
      <c r="X76" s="56">
        <v>3276.74</v>
      </c>
      <c r="Y76" s="56">
        <v>5.8500000000000003E-2</v>
      </c>
      <c r="Z76" s="56">
        <v>5.2400000000000002E-2</v>
      </c>
      <c r="AA76" s="56">
        <v>8.8999999999999999E-3</v>
      </c>
      <c r="AB76" s="56">
        <v>1.77E-2</v>
      </c>
      <c r="AC76" s="56">
        <v>0.72460000000000002</v>
      </c>
      <c r="AD76" s="56">
        <v>6105.87</v>
      </c>
      <c r="AE76" s="56">
        <v>0.76490000000000002</v>
      </c>
      <c r="AF76" s="56">
        <v>2.5999999999999999E-2</v>
      </c>
      <c r="AG76" s="56">
        <v>0.34039999999999998</v>
      </c>
      <c r="AH76" s="56">
        <v>2.9376000000000002</v>
      </c>
      <c r="AI76" s="58">
        <v>8915667</v>
      </c>
      <c r="AJ76" s="58">
        <v>1563211</v>
      </c>
      <c r="AK76" s="58">
        <v>24095000</v>
      </c>
      <c r="AL76" s="58">
        <v>12011169</v>
      </c>
      <c r="AM76" s="57">
        <v>0</v>
      </c>
      <c r="AN76" s="57">
        <v>0</v>
      </c>
      <c r="AO76" s="58">
        <v>38177086</v>
      </c>
      <c r="AP76" s="64" t="s">
        <v>208</v>
      </c>
      <c r="AQ76" s="64">
        <v>2020</v>
      </c>
      <c r="AR76" s="64">
        <v>0</v>
      </c>
      <c r="AS76" s="64">
        <v>0</v>
      </c>
      <c r="AT76" s="64">
        <v>0</v>
      </c>
      <c r="AU76" s="64">
        <v>0</v>
      </c>
      <c r="AV76">
        <v>0</v>
      </c>
      <c r="AW76">
        <v>1</v>
      </c>
      <c r="AX76" s="64">
        <v>0</v>
      </c>
      <c r="AY76" s="64"/>
      <c r="AZ76" s="64">
        <f t="shared" si="1"/>
        <v>1</v>
      </c>
      <c r="BA76" s="64">
        <v>0</v>
      </c>
    </row>
    <row r="77" spans="1:53" x14ac:dyDescent="0.3">
      <c r="A77" s="55" t="s">
        <v>163</v>
      </c>
      <c r="B77" s="64" t="s">
        <v>160</v>
      </c>
      <c r="C77" s="64">
        <v>5488</v>
      </c>
      <c r="D77" s="64">
        <v>40.299999999999997</v>
      </c>
      <c r="E77" s="64">
        <v>777</v>
      </c>
      <c r="F77" s="64">
        <v>923</v>
      </c>
      <c r="G77" s="64">
        <v>115</v>
      </c>
      <c r="H77" s="64">
        <v>48</v>
      </c>
      <c r="I77" s="64">
        <v>227037200</v>
      </c>
      <c r="J77" s="64">
        <v>75427</v>
      </c>
      <c r="K77" s="64">
        <v>42780</v>
      </c>
      <c r="L77" s="64">
        <v>2454</v>
      </c>
      <c r="M77" s="64">
        <v>2.19</v>
      </c>
      <c r="N77" s="64">
        <v>374</v>
      </c>
      <c r="O77" s="64">
        <v>167</v>
      </c>
      <c r="P77" s="64">
        <v>3423</v>
      </c>
      <c r="Q77" s="73">
        <v>5</v>
      </c>
      <c r="R77" s="73">
        <v>10</v>
      </c>
      <c r="S77" s="73">
        <v>11</v>
      </c>
      <c r="T77" s="73">
        <v>26</v>
      </c>
      <c r="U77" s="56">
        <v>3.2105999999999999</v>
      </c>
      <c r="V77" s="56">
        <v>0.45550000000000002</v>
      </c>
      <c r="W77" s="56">
        <v>0.25380000000000003</v>
      </c>
      <c r="X77" s="56">
        <v>3660.37</v>
      </c>
      <c r="Y77" s="56">
        <v>3.1399999999999997E-2</v>
      </c>
      <c r="Z77" s="56">
        <v>1.0999999999999999E-2</v>
      </c>
      <c r="AA77" s="56">
        <v>8.0000000000000002E-3</v>
      </c>
      <c r="AB77" s="56">
        <v>9.7999999999999997E-3</v>
      </c>
      <c r="AC77" s="56">
        <v>0.72170000000000001</v>
      </c>
      <c r="AD77" s="56">
        <v>9966.6</v>
      </c>
      <c r="AE77" s="56">
        <v>0.75060000000000004</v>
      </c>
      <c r="AF77" s="56">
        <v>7.17E-2</v>
      </c>
      <c r="AG77" s="56">
        <v>0.30690000000000001</v>
      </c>
      <c r="AH77" s="56">
        <v>3.2584</v>
      </c>
      <c r="AI77" s="58">
        <v>4374775</v>
      </c>
      <c r="AJ77" s="58">
        <v>838520</v>
      </c>
      <c r="AK77" s="58">
        <v>11605943</v>
      </c>
      <c r="AL77" s="58">
        <v>7245000</v>
      </c>
      <c r="AM77" s="58">
        <v>837726</v>
      </c>
      <c r="AN77" s="58">
        <v>237000000</v>
      </c>
      <c r="AO77" s="58">
        <v>20409130</v>
      </c>
      <c r="AP77" s="64" t="s">
        <v>209</v>
      </c>
      <c r="AQ77" s="64">
        <v>2024</v>
      </c>
      <c r="AR77" s="64">
        <v>0</v>
      </c>
      <c r="AS77" s="64">
        <v>0</v>
      </c>
      <c r="AT77" s="64">
        <v>0</v>
      </c>
      <c r="AU77" s="64">
        <v>0</v>
      </c>
      <c r="AV77">
        <v>1</v>
      </c>
      <c r="AW77">
        <v>1</v>
      </c>
      <c r="AX77" s="64">
        <v>0</v>
      </c>
      <c r="AY77" s="64"/>
      <c r="AZ77" s="64">
        <f t="shared" si="1"/>
        <v>2</v>
      </c>
      <c r="BA77" s="64">
        <v>0</v>
      </c>
    </row>
    <row r="78" spans="1:53" s="102" customFormat="1" x14ac:dyDescent="0.3">
      <c r="A78" s="103" t="s">
        <v>164</v>
      </c>
      <c r="B78" s="97" t="s">
        <v>160</v>
      </c>
      <c r="C78" s="97">
        <v>70322</v>
      </c>
      <c r="D78" s="97">
        <v>32.9</v>
      </c>
      <c r="E78" s="97">
        <v>10181</v>
      </c>
      <c r="F78" s="97">
        <v>10807</v>
      </c>
      <c r="G78" s="97">
        <v>3650</v>
      </c>
      <c r="H78" s="97">
        <v>840</v>
      </c>
      <c r="I78" s="97">
        <v>2726275800</v>
      </c>
      <c r="J78" s="97">
        <v>67395</v>
      </c>
      <c r="K78" s="97">
        <v>39434</v>
      </c>
      <c r="L78" s="97">
        <v>30492</v>
      </c>
      <c r="M78" s="97">
        <v>2.1800000000000002</v>
      </c>
      <c r="N78" s="97">
        <v>9538</v>
      </c>
      <c r="O78" s="97">
        <v>1391</v>
      </c>
      <c r="P78" s="97">
        <v>41364</v>
      </c>
      <c r="Q78" s="98">
        <v>7</v>
      </c>
      <c r="R78" s="98">
        <v>16</v>
      </c>
      <c r="S78" s="98">
        <v>14</v>
      </c>
      <c r="T78" s="98">
        <v>37</v>
      </c>
      <c r="U78" s="99">
        <v>3.7008999999999999</v>
      </c>
      <c r="V78" s="99">
        <v>0.34</v>
      </c>
      <c r="W78" s="99">
        <v>0.36609999999999998</v>
      </c>
      <c r="X78" s="99">
        <v>4106.28</v>
      </c>
      <c r="Y78" s="99">
        <v>0.1288</v>
      </c>
      <c r="Z78" s="99">
        <v>1.5900000000000001E-2</v>
      </c>
      <c r="AA78" s="99">
        <v>5.3100000000000001E-2</v>
      </c>
      <c r="AB78" s="99">
        <v>0.1183</v>
      </c>
      <c r="AC78" s="99">
        <v>0.68269999999999997</v>
      </c>
      <c r="AD78" s="99">
        <v>6769.59</v>
      </c>
      <c r="AE78" s="99">
        <v>0.77739999999999998</v>
      </c>
      <c r="AF78" s="99">
        <v>0.1145</v>
      </c>
      <c r="AG78" s="99">
        <v>0.39279999999999998</v>
      </c>
      <c r="AH78" s="99">
        <v>2.5461999999999998</v>
      </c>
      <c r="AI78" s="100">
        <v>61435004</v>
      </c>
      <c r="AJ78" s="100">
        <v>10654287</v>
      </c>
      <c r="AK78" s="100">
        <v>187952627</v>
      </c>
      <c r="AL78" s="100">
        <v>38622099</v>
      </c>
      <c r="AM78" s="101">
        <v>0</v>
      </c>
      <c r="AN78" s="100">
        <v>26470787</v>
      </c>
      <c r="AO78" s="100">
        <v>227789726</v>
      </c>
      <c r="AP78" s="97" t="s">
        <v>209</v>
      </c>
      <c r="AQ78" s="97">
        <v>2020</v>
      </c>
      <c r="AR78" s="64">
        <v>0</v>
      </c>
      <c r="AS78" s="64">
        <v>0</v>
      </c>
      <c r="AT78" s="97">
        <v>1</v>
      </c>
      <c r="AU78" s="64">
        <v>0</v>
      </c>
      <c r="AV78">
        <v>0</v>
      </c>
      <c r="AW78">
        <v>0</v>
      </c>
      <c r="AX78" s="64">
        <v>0</v>
      </c>
      <c r="AY78" s="97"/>
      <c r="AZ78" s="64">
        <f t="shared" si="1"/>
        <v>1</v>
      </c>
      <c r="BA78" s="97" t="s">
        <v>205</v>
      </c>
    </row>
    <row r="79" spans="1:53" x14ac:dyDescent="0.3">
      <c r="A79" s="55" t="s">
        <v>165</v>
      </c>
      <c r="B79" s="64" t="s">
        <v>160</v>
      </c>
      <c r="C79" s="64">
        <v>32619</v>
      </c>
      <c r="D79" s="64">
        <v>34.4</v>
      </c>
      <c r="E79" s="64">
        <v>3240</v>
      </c>
      <c r="F79" s="64">
        <v>7996</v>
      </c>
      <c r="G79" s="64">
        <v>3644</v>
      </c>
      <c r="H79" s="64">
        <v>970</v>
      </c>
      <c r="I79" s="64">
        <v>1913986800</v>
      </c>
      <c r="J79" s="64">
        <v>86516</v>
      </c>
      <c r="K79" s="64">
        <v>59210</v>
      </c>
      <c r="L79" s="64">
        <v>15703</v>
      </c>
      <c r="M79" s="64">
        <v>2.02</v>
      </c>
      <c r="N79" s="64">
        <v>2942</v>
      </c>
      <c r="O79" s="64">
        <v>381</v>
      </c>
      <c r="P79" s="64">
        <v>20113</v>
      </c>
      <c r="Q79" s="73">
        <v>7</v>
      </c>
      <c r="R79" s="73">
        <v>16</v>
      </c>
      <c r="S79" s="73">
        <v>16</v>
      </c>
      <c r="T79" s="73">
        <v>39</v>
      </c>
      <c r="U79" s="56">
        <v>11.154</v>
      </c>
      <c r="V79" s="56">
        <v>0.9607</v>
      </c>
      <c r="W79" s="56">
        <v>0.1336</v>
      </c>
      <c r="X79" s="56">
        <v>1709.1</v>
      </c>
      <c r="Y79" s="56">
        <v>0.1048</v>
      </c>
      <c r="Z79" s="56">
        <v>2.0400000000000001E-2</v>
      </c>
      <c r="AA79" s="57">
        <v>0</v>
      </c>
      <c r="AB79" s="57">
        <v>0</v>
      </c>
      <c r="AC79" s="56">
        <v>0.65559999999999996</v>
      </c>
      <c r="AD79" s="56">
        <v>6558.29</v>
      </c>
      <c r="AE79" s="56">
        <v>0.75890000000000002</v>
      </c>
      <c r="AF79" s="56">
        <v>8.4900000000000003E-2</v>
      </c>
      <c r="AG79" s="56">
        <v>0.17249999999999999</v>
      </c>
      <c r="AH79" s="56">
        <v>5.8</v>
      </c>
      <c r="AI79" s="58">
        <v>38998688</v>
      </c>
      <c r="AJ79" s="58">
        <v>16866076</v>
      </c>
      <c r="AK79" s="58">
        <v>52914527</v>
      </c>
      <c r="AL79" s="57">
        <v>0</v>
      </c>
      <c r="AM79" s="57">
        <v>0</v>
      </c>
      <c r="AN79" s="58">
        <v>12205193</v>
      </c>
      <c r="AO79" s="58">
        <v>63167735</v>
      </c>
      <c r="AP79" s="64" t="s">
        <v>208</v>
      </c>
      <c r="AQ79" s="64">
        <v>2025</v>
      </c>
      <c r="AR79" s="64">
        <v>0</v>
      </c>
      <c r="AS79" s="64">
        <v>0</v>
      </c>
      <c r="AT79" s="64">
        <v>0</v>
      </c>
      <c r="AU79" s="64">
        <v>0</v>
      </c>
      <c r="AV79">
        <v>1</v>
      </c>
      <c r="AW79">
        <v>1</v>
      </c>
      <c r="AX79" s="64">
        <v>0</v>
      </c>
      <c r="AY79" s="64"/>
      <c r="AZ79" s="64">
        <f t="shared" si="1"/>
        <v>2</v>
      </c>
      <c r="BA79" s="64" t="s">
        <v>207</v>
      </c>
    </row>
    <row r="80" spans="1:53" x14ac:dyDescent="0.3">
      <c r="A80" s="55" t="s">
        <v>166</v>
      </c>
      <c r="B80" s="64" t="s">
        <v>160</v>
      </c>
      <c r="C80" s="64">
        <v>44494</v>
      </c>
      <c r="D80" s="64">
        <v>36.9</v>
      </c>
      <c r="E80" s="64">
        <v>9743</v>
      </c>
      <c r="F80" s="64">
        <v>4335</v>
      </c>
      <c r="G80" s="64">
        <v>1678</v>
      </c>
      <c r="H80" s="64">
        <v>232</v>
      </c>
      <c r="I80" s="64">
        <v>1435850600</v>
      </c>
      <c r="J80" s="64">
        <v>62260</v>
      </c>
      <c r="K80" s="64">
        <v>32942</v>
      </c>
      <c r="L80" s="64">
        <v>19018</v>
      </c>
      <c r="M80" s="64">
        <v>2.2200000000000002</v>
      </c>
      <c r="N80" s="64">
        <v>5256</v>
      </c>
      <c r="O80" s="64">
        <v>997</v>
      </c>
      <c r="P80" s="64">
        <v>22918</v>
      </c>
      <c r="Q80" s="73">
        <v>1</v>
      </c>
      <c r="R80" s="73">
        <v>7</v>
      </c>
      <c r="S80" s="73">
        <v>5</v>
      </c>
      <c r="T80" s="73">
        <v>13</v>
      </c>
      <c r="U80" s="57">
        <v>0</v>
      </c>
      <c r="V80" s="56">
        <v>0.93630000000000002</v>
      </c>
      <c r="W80" s="56">
        <v>0.28210000000000002</v>
      </c>
      <c r="X80" s="56">
        <v>3219.99</v>
      </c>
      <c r="Y80" s="56">
        <v>0.26429999999999998</v>
      </c>
      <c r="Z80" s="56">
        <v>1.6899999999999998E-2</v>
      </c>
      <c r="AA80" s="56">
        <v>6.6E-3</v>
      </c>
      <c r="AB80" s="56">
        <v>1.43E-2</v>
      </c>
      <c r="AC80" s="56">
        <v>0.68079999999999996</v>
      </c>
      <c r="AD80" s="56">
        <v>71475</v>
      </c>
      <c r="AE80" s="56">
        <v>0.65149999999999997</v>
      </c>
      <c r="AF80" s="56">
        <v>6.7900000000000002E-2</v>
      </c>
      <c r="AG80" s="56">
        <v>0.37519999999999998</v>
      </c>
      <c r="AH80" s="56">
        <v>2.6655000000000002</v>
      </c>
      <c r="AI80" s="58">
        <v>35351103</v>
      </c>
      <c r="AJ80" s="58">
        <v>25126554</v>
      </c>
      <c r="AK80" s="58">
        <v>96455000</v>
      </c>
      <c r="AL80" s="58">
        <v>55830144</v>
      </c>
      <c r="AM80" s="57">
        <v>0</v>
      </c>
      <c r="AN80" s="57">
        <v>0</v>
      </c>
      <c r="AO80" s="58">
        <v>165506978</v>
      </c>
      <c r="AP80" s="64" t="s">
        <v>209</v>
      </c>
      <c r="AQ80" s="64">
        <v>2021</v>
      </c>
      <c r="AR80" s="64">
        <v>0</v>
      </c>
      <c r="AS80" s="64">
        <v>0</v>
      </c>
      <c r="AT80" s="64">
        <v>0</v>
      </c>
      <c r="AU80" s="64">
        <v>0</v>
      </c>
      <c r="AV80">
        <v>1</v>
      </c>
      <c r="AW80">
        <v>0</v>
      </c>
      <c r="AX80" s="64">
        <v>0</v>
      </c>
      <c r="AY80" s="64"/>
      <c r="AZ80" s="64">
        <f t="shared" si="1"/>
        <v>1</v>
      </c>
      <c r="BA80" s="64" t="s">
        <v>207</v>
      </c>
    </row>
    <row r="81" spans="1:53" x14ac:dyDescent="0.3">
      <c r="A81" s="55" t="s">
        <v>167</v>
      </c>
      <c r="B81" s="64" t="s">
        <v>160</v>
      </c>
      <c r="C81" s="64">
        <v>35886</v>
      </c>
      <c r="D81" s="64">
        <v>43</v>
      </c>
      <c r="E81" s="64">
        <v>5365</v>
      </c>
      <c r="F81" s="64">
        <v>7514</v>
      </c>
      <c r="G81" s="64">
        <v>2633</v>
      </c>
      <c r="H81" s="64">
        <v>596</v>
      </c>
      <c r="I81" s="64">
        <v>1846284400</v>
      </c>
      <c r="J81" s="64">
        <v>106894</v>
      </c>
      <c r="K81" s="64">
        <v>52190</v>
      </c>
      <c r="L81" s="64">
        <v>14138</v>
      </c>
      <c r="M81" s="64">
        <v>2.4900000000000002</v>
      </c>
      <c r="N81" s="64">
        <v>2372</v>
      </c>
      <c r="O81" s="64">
        <v>609</v>
      </c>
      <c r="P81" s="64">
        <v>18072</v>
      </c>
      <c r="Q81" s="73">
        <v>2</v>
      </c>
      <c r="R81" s="73">
        <v>9</v>
      </c>
      <c r="S81" s="73">
        <v>9</v>
      </c>
      <c r="T81" s="73">
        <v>20</v>
      </c>
      <c r="U81" s="56">
        <v>4.1247999999999996</v>
      </c>
      <c r="V81" s="56">
        <v>0.23960000000000001</v>
      </c>
      <c r="W81" s="56">
        <v>0.1706</v>
      </c>
      <c r="X81" s="56">
        <v>1861.6</v>
      </c>
      <c r="Y81" s="56">
        <v>3.3700000000000001E-2</v>
      </c>
      <c r="Z81" s="56">
        <v>2.2100000000000002E-2</v>
      </c>
      <c r="AA81" s="56">
        <v>2.3599999999999999E-2</v>
      </c>
      <c r="AB81" s="56">
        <v>3.78E-2</v>
      </c>
      <c r="AC81" s="56">
        <v>0.71060000000000001</v>
      </c>
      <c r="AD81" s="56">
        <v>6573.67</v>
      </c>
      <c r="AE81" s="56">
        <v>0.82820000000000005</v>
      </c>
      <c r="AF81" s="56">
        <v>0.125</v>
      </c>
      <c r="AG81" s="56">
        <v>0.22439999999999999</v>
      </c>
      <c r="AH81" s="56">
        <v>4.4568000000000003</v>
      </c>
      <c r="AI81" s="58">
        <v>28248775</v>
      </c>
      <c r="AJ81" s="58">
        <v>1985742</v>
      </c>
      <c r="AK81" s="58">
        <v>58175000</v>
      </c>
      <c r="AL81" s="57">
        <v>0</v>
      </c>
      <c r="AM81" s="57">
        <v>0</v>
      </c>
      <c r="AN81" s="57">
        <v>0</v>
      </c>
      <c r="AO81" s="58">
        <v>74670963</v>
      </c>
      <c r="AP81" s="64" t="s">
        <v>208</v>
      </c>
      <c r="AQ81" s="64">
        <v>2024</v>
      </c>
      <c r="AR81" s="64">
        <v>0</v>
      </c>
      <c r="AS81" s="64">
        <v>0</v>
      </c>
      <c r="AT81" s="64">
        <v>0</v>
      </c>
      <c r="AU81" s="64">
        <v>0</v>
      </c>
      <c r="AV81">
        <v>1</v>
      </c>
      <c r="AW81">
        <v>1</v>
      </c>
      <c r="AX81" s="64">
        <v>0</v>
      </c>
      <c r="AY81" s="64"/>
      <c r="AZ81" s="64">
        <f t="shared" si="1"/>
        <v>2</v>
      </c>
      <c r="BA81" s="64">
        <v>0</v>
      </c>
    </row>
    <row r="82" spans="1:53" x14ac:dyDescent="0.3">
      <c r="A82" s="55" t="s">
        <v>168</v>
      </c>
      <c r="B82" s="64" t="s">
        <v>160</v>
      </c>
      <c r="C82" s="64">
        <v>106253</v>
      </c>
      <c r="D82" s="64">
        <v>36</v>
      </c>
      <c r="E82" s="64">
        <v>18695</v>
      </c>
      <c r="F82" s="64">
        <v>13184</v>
      </c>
      <c r="G82" s="64">
        <v>4100</v>
      </c>
      <c r="H82" s="64">
        <v>534</v>
      </c>
      <c r="I82" s="64">
        <v>3715231100</v>
      </c>
      <c r="J82" s="64">
        <v>66206</v>
      </c>
      <c r="K82" s="64">
        <v>35940</v>
      </c>
      <c r="L82" s="64">
        <v>43790</v>
      </c>
      <c r="M82" s="64">
        <v>2.36</v>
      </c>
      <c r="N82" s="64">
        <v>15198</v>
      </c>
      <c r="O82" s="64">
        <v>2097</v>
      </c>
      <c r="P82" s="64">
        <v>57059</v>
      </c>
      <c r="Q82" s="73">
        <v>5</v>
      </c>
      <c r="R82" s="73">
        <v>10</v>
      </c>
      <c r="S82" s="73">
        <v>12</v>
      </c>
      <c r="T82" s="73">
        <v>27</v>
      </c>
      <c r="U82" s="56">
        <v>4.1020000000000003</v>
      </c>
      <c r="V82" s="56">
        <v>0.3634</v>
      </c>
      <c r="W82" s="56">
        <v>0.23269999999999999</v>
      </c>
      <c r="X82" s="56">
        <v>2204.89</v>
      </c>
      <c r="Y82" s="56">
        <v>0.1399</v>
      </c>
      <c r="Z82" s="56">
        <v>2.7900000000000001E-2</v>
      </c>
      <c r="AA82" s="57">
        <v>0</v>
      </c>
      <c r="AB82" s="57">
        <v>0</v>
      </c>
      <c r="AC82" s="56">
        <v>0.68269999999999997</v>
      </c>
      <c r="AD82" s="56">
        <v>5775.99</v>
      </c>
      <c r="AE82" s="56">
        <v>0.79110000000000003</v>
      </c>
      <c r="AF82" s="56">
        <v>7.9200000000000007E-2</v>
      </c>
      <c r="AG82" s="56">
        <v>0.33279999999999998</v>
      </c>
      <c r="AH82" s="56">
        <v>3.0049000000000001</v>
      </c>
      <c r="AI82" s="58">
        <v>77499540</v>
      </c>
      <c r="AJ82" s="58">
        <v>54891693</v>
      </c>
      <c r="AK82" s="58">
        <v>190154000</v>
      </c>
      <c r="AL82" s="58">
        <v>2873000</v>
      </c>
      <c r="AM82" s="58">
        <v>30515000</v>
      </c>
      <c r="AN82" s="58">
        <v>17000000</v>
      </c>
      <c r="AO82" s="58">
        <v>223542000</v>
      </c>
      <c r="AP82" s="64" t="s">
        <v>208</v>
      </c>
      <c r="AQ82" s="64">
        <v>2023</v>
      </c>
      <c r="AR82" s="64">
        <v>0</v>
      </c>
      <c r="AS82" s="64">
        <v>0</v>
      </c>
      <c r="AT82" s="64">
        <v>0</v>
      </c>
      <c r="AU82" s="64">
        <v>0</v>
      </c>
      <c r="AV82">
        <v>1</v>
      </c>
      <c r="AW82">
        <v>1</v>
      </c>
      <c r="AX82" s="64">
        <v>0</v>
      </c>
      <c r="AY82" s="64"/>
      <c r="AZ82" s="64">
        <f t="shared" si="1"/>
        <v>2</v>
      </c>
      <c r="BA82" s="64" t="s">
        <v>205</v>
      </c>
    </row>
    <row r="83" spans="1:53" x14ac:dyDescent="0.3">
      <c r="A83" s="55" t="s">
        <v>169</v>
      </c>
      <c r="B83" s="64" t="s">
        <v>160</v>
      </c>
      <c r="C83" s="64">
        <v>37345</v>
      </c>
      <c r="D83" s="64">
        <v>42</v>
      </c>
      <c r="E83" s="64">
        <v>7579</v>
      </c>
      <c r="F83" s="64">
        <v>6404</v>
      </c>
      <c r="G83" s="64">
        <v>2500</v>
      </c>
      <c r="H83" s="64">
        <v>367</v>
      </c>
      <c r="I83" s="64">
        <v>1574828900</v>
      </c>
      <c r="J83" s="64">
        <v>70459</v>
      </c>
      <c r="K83" s="64">
        <v>42974</v>
      </c>
      <c r="L83" s="64">
        <v>17393</v>
      </c>
      <c r="M83" s="64">
        <v>2.12</v>
      </c>
      <c r="N83" s="64">
        <v>3150</v>
      </c>
      <c r="O83" s="64">
        <v>497</v>
      </c>
      <c r="P83" s="64">
        <v>20023</v>
      </c>
      <c r="Q83" s="73">
        <v>1</v>
      </c>
      <c r="R83" s="73">
        <v>4</v>
      </c>
      <c r="S83" s="73">
        <v>2</v>
      </c>
      <c r="T83" s="73">
        <v>7</v>
      </c>
      <c r="U83" s="56">
        <v>1.2808999999999999</v>
      </c>
      <c r="V83" s="56">
        <v>-0.2114</v>
      </c>
      <c r="W83" s="56">
        <v>0.57140000000000002</v>
      </c>
      <c r="X83" s="56">
        <v>3471.68</v>
      </c>
      <c r="Y83" s="56">
        <v>8.5900000000000004E-2</v>
      </c>
      <c r="Z83" s="56">
        <v>1.5599999999999999E-2</v>
      </c>
      <c r="AA83" s="56">
        <v>6.9699999999999998E-2</v>
      </c>
      <c r="AB83" s="56">
        <v>0.13780000000000001</v>
      </c>
      <c r="AC83" s="56">
        <v>0.58440000000000003</v>
      </c>
      <c r="AD83" s="56">
        <v>3197.7</v>
      </c>
      <c r="AE83" s="56">
        <v>1.0651999999999999</v>
      </c>
      <c r="AF83" s="56">
        <v>0.21229999999999999</v>
      </c>
      <c r="AG83" s="56">
        <v>0.63390000000000002</v>
      </c>
      <c r="AH83" s="56">
        <v>1.5777000000000001</v>
      </c>
      <c r="AI83" s="58">
        <v>34786447</v>
      </c>
      <c r="AJ83" s="58">
        <v>10018756</v>
      </c>
      <c r="AK83" s="58">
        <v>88046508</v>
      </c>
      <c r="AL83" s="57">
        <v>0</v>
      </c>
      <c r="AM83" s="57">
        <v>0</v>
      </c>
      <c r="AN83" s="58">
        <v>16280000</v>
      </c>
      <c r="AO83" s="58">
        <v>99528016</v>
      </c>
      <c r="AP83" s="64" t="s">
        <v>209</v>
      </c>
      <c r="AQ83" s="64">
        <v>2023</v>
      </c>
      <c r="AR83" s="64">
        <v>0</v>
      </c>
      <c r="AS83" s="64">
        <v>0</v>
      </c>
      <c r="AT83" s="64">
        <v>0</v>
      </c>
      <c r="AU83" s="64">
        <v>0</v>
      </c>
      <c r="AV83">
        <v>1</v>
      </c>
      <c r="AW83">
        <v>1</v>
      </c>
      <c r="AX83" s="64">
        <v>0</v>
      </c>
      <c r="AY83" s="64"/>
      <c r="AZ83" s="64">
        <f t="shared" si="1"/>
        <v>2</v>
      </c>
      <c r="BA83" s="64" t="s">
        <v>207</v>
      </c>
    </row>
    <row r="84" spans="1:53" s="102" customFormat="1" x14ac:dyDescent="0.3">
      <c r="A84" s="103" t="s">
        <v>170</v>
      </c>
      <c r="B84" s="97" t="s">
        <v>160</v>
      </c>
      <c r="C84" s="97">
        <v>51356</v>
      </c>
      <c r="D84" s="97">
        <v>30.5</v>
      </c>
      <c r="E84" s="97">
        <v>5940</v>
      </c>
      <c r="F84" s="97">
        <v>6099</v>
      </c>
      <c r="G84" s="97">
        <v>2710</v>
      </c>
      <c r="H84" s="97">
        <v>740</v>
      </c>
      <c r="I84" s="97">
        <v>1715515700</v>
      </c>
      <c r="J84" s="97">
        <v>55866</v>
      </c>
      <c r="K84" s="97">
        <v>34439</v>
      </c>
      <c r="L84" s="97">
        <v>22965</v>
      </c>
      <c r="M84" s="97">
        <v>2.0499999999999998</v>
      </c>
      <c r="N84" s="97">
        <v>10109</v>
      </c>
      <c r="O84" s="97">
        <v>1067</v>
      </c>
      <c r="P84" s="97">
        <v>28996</v>
      </c>
      <c r="Q84" s="98">
        <v>4</v>
      </c>
      <c r="R84" s="98">
        <v>9</v>
      </c>
      <c r="S84" s="98">
        <v>13</v>
      </c>
      <c r="T84" s="98">
        <v>26</v>
      </c>
      <c r="U84" s="99">
        <v>5.4306000000000001</v>
      </c>
      <c r="V84" s="99">
        <v>0.28410000000000002</v>
      </c>
      <c r="W84" s="99">
        <v>0.26090000000000002</v>
      </c>
      <c r="X84" s="99">
        <v>4449.8999999999996</v>
      </c>
      <c r="Y84" s="99">
        <v>3.5499999999999997E-2</v>
      </c>
      <c r="Z84" s="99">
        <v>1.5900000000000001E-2</v>
      </c>
      <c r="AA84" s="99">
        <v>2.29E-2</v>
      </c>
      <c r="AB84" s="99">
        <v>4.7600000000000003E-2</v>
      </c>
      <c r="AC84" s="99">
        <v>0.72650000000000003</v>
      </c>
      <c r="AD84" s="99">
        <v>9133.58</v>
      </c>
      <c r="AE84" s="99">
        <v>0.81120000000000003</v>
      </c>
      <c r="AF84" s="99">
        <v>0.1192</v>
      </c>
      <c r="AG84" s="99">
        <v>0.31879999999999997</v>
      </c>
      <c r="AH84" s="99">
        <v>3.1375999999999999</v>
      </c>
      <c r="AI84" s="100">
        <v>59314212</v>
      </c>
      <c r="AJ84" s="100">
        <v>41614564</v>
      </c>
      <c r="AK84" s="100">
        <v>122645000</v>
      </c>
      <c r="AL84" s="100">
        <v>64490528</v>
      </c>
      <c r="AM84" s="101">
        <v>0</v>
      </c>
      <c r="AN84" s="100">
        <v>342316</v>
      </c>
      <c r="AO84" s="100">
        <v>258335948</v>
      </c>
      <c r="AP84" s="97" t="s">
        <v>209</v>
      </c>
      <c r="AQ84" s="97">
        <v>2022</v>
      </c>
      <c r="AR84" s="64">
        <v>0</v>
      </c>
      <c r="AS84" s="64">
        <v>0</v>
      </c>
      <c r="AT84" s="97">
        <v>1</v>
      </c>
      <c r="AU84" s="64">
        <v>0</v>
      </c>
      <c r="AV84">
        <v>1</v>
      </c>
      <c r="AW84">
        <v>0</v>
      </c>
      <c r="AX84" s="64">
        <v>0</v>
      </c>
      <c r="AY84" s="97"/>
      <c r="AZ84" s="64">
        <f t="shared" si="1"/>
        <v>2</v>
      </c>
      <c r="BA84" s="97" t="s">
        <v>205</v>
      </c>
    </row>
    <row r="85" spans="1:53" s="102" customFormat="1" x14ac:dyDescent="0.3">
      <c r="A85" s="103" t="s">
        <v>171</v>
      </c>
      <c r="B85" s="97" t="s">
        <v>160</v>
      </c>
      <c r="C85" s="97">
        <v>278001</v>
      </c>
      <c r="D85" s="97">
        <v>31.8</v>
      </c>
      <c r="E85" s="97">
        <v>22432</v>
      </c>
      <c r="F85" s="97">
        <v>60017</v>
      </c>
      <c r="G85" s="97">
        <v>28208</v>
      </c>
      <c r="H85" s="97">
        <v>10426</v>
      </c>
      <c r="I85" s="97">
        <v>13539988300</v>
      </c>
      <c r="J85" s="97">
        <v>78050</v>
      </c>
      <c r="K85" s="97">
        <v>49425</v>
      </c>
      <c r="L85" s="97">
        <v>128261</v>
      </c>
      <c r="M85" s="97">
        <v>2.06</v>
      </c>
      <c r="N85" s="97">
        <v>43635</v>
      </c>
      <c r="O85" s="97">
        <v>4421</v>
      </c>
      <c r="P85" s="97">
        <v>166777</v>
      </c>
      <c r="Q85" s="98">
        <v>6</v>
      </c>
      <c r="R85" s="98">
        <v>12</v>
      </c>
      <c r="S85" s="98">
        <v>14</v>
      </c>
      <c r="T85" s="98">
        <v>32</v>
      </c>
      <c r="U85" s="99">
        <v>3.6160999999999999</v>
      </c>
      <c r="V85" s="99">
        <v>0.29049999999999998</v>
      </c>
      <c r="W85" s="99">
        <v>0.23169999999999999</v>
      </c>
      <c r="X85" s="99">
        <v>2903.67</v>
      </c>
      <c r="Y85" s="99">
        <v>0.2132</v>
      </c>
      <c r="Z85" s="99">
        <v>2.23E-2</v>
      </c>
      <c r="AA85" s="99">
        <v>2.52E-2</v>
      </c>
      <c r="AB85" s="99">
        <v>4.4600000000000001E-2</v>
      </c>
      <c r="AC85" s="99">
        <v>0.68620000000000003</v>
      </c>
      <c r="AD85" s="99">
        <v>6819.96</v>
      </c>
      <c r="AE85" s="99">
        <v>0.81130000000000002</v>
      </c>
      <c r="AF85" s="99">
        <v>9.1499999999999998E-2</v>
      </c>
      <c r="AG85" s="99">
        <v>0.34039999999999998</v>
      </c>
      <c r="AH85" s="99">
        <v>2.9376000000000002</v>
      </c>
      <c r="AI85" s="100">
        <v>353557360</v>
      </c>
      <c r="AJ85" s="100">
        <v>206821205</v>
      </c>
      <c r="AK85" s="100">
        <v>652988543</v>
      </c>
      <c r="AL85" s="100">
        <v>184553078</v>
      </c>
      <c r="AM85" s="101">
        <v>0</v>
      </c>
      <c r="AN85" s="100">
        <v>112209690</v>
      </c>
      <c r="AO85" s="100">
        <v>837541621</v>
      </c>
      <c r="AP85" s="97" t="s">
        <v>209</v>
      </c>
      <c r="AQ85" s="97">
        <v>2024</v>
      </c>
      <c r="AR85" s="64">
        <v>0</v>
      </c>
      <c r="AS85" s="64">
        <v>0</v>
      </c>
      <c r="AT85" s="97">
        <v>1</v>
      </c>
      <c r="AU85" s="64">
        <v>0</v>
      </c>
      <c r="AV85">
        <v>0</v>
      </c>
      <c r="AW85">
        <v>0</v>
      </c>
      <c r="AX85" s="64">
        <v>0</v>
      </c>
      <c r="AY85" s="97"/>
      <c r="AZ85" s="64">
        <f t="shared" si="1"/>
        <v>1</v>
      </c>
      <c r="BA85" s="97" t="s">
        <v>205</v>
      </c>
    </row>
    <row r="86" spans="1:53" x14ac:dyDescent="0.3">
      <c r="A86" s="55" t="s">
        <v>172</v>
      </c>
      <c r="B86" s="64" t="s">
        <v>160</v>
      </c>
      <c r="C86" s="64">
        <v>18273</v>
      </c>
      <c r="D86" s="64">
        <v>37.6</v>
      </c>
      <c r="E86" s="64">
        <v>3035</v>
      </c>
      <c r="F86" s="64">
        <v>2196</v>
      </c>
      <c r="G86" s="64">
        <v>802</v>
      </c>
      <c r="H86" s="64">
        <v>81</v>
      </c>
      <c r="I86" s="64">
        <v>654800600</v>
      </c>
      <c r="J86" s="64">
        <v>64698</v>
      </c>
      <c r="K86" s="64">
        <v>36055</v>
      </c>
      <c r="L86" s="64">
        <v>8123</v>
      </c>
      <c r="M86" s="64">
        <v>2.2400000000000002</v>
      </c>
      <c r="N86" s="64">
        <v>2190</v>
      </c>
      <c r="O86" s="64">
        <v>324</v>
      </c>
      <c r="P86" s="64">
        <v>10083</v>
      </c>
      <c r="Q86" s="73">
        <v>1</v>
      </c>
      <c r="R86" s="73">
        <v>6</v>
      </c>
      <c r="S86" s="73">
        <v>2</v>
      </c>
      <c r="T86" s="73">
        <v>9</v>
      </c>
      <c r="U86" s="56">
        <v>2.2492000000000001</v>
      </c>
      <c r="V86" s="56">
        <v>0.27460000000000001</v>
      </c>
      <c r="W86" s="56">
        <v>0.28739999999999999</v>
      </c>
      <c r="X86" s="56">
        <v>2579.5700000000002</v>
      </c>
      <c r="Y86" s="56">
        <v>4.0300000000000002E-2</v>
      </c>
      <c r="Z86" s="56">
        <v>8.1000000000000003E-2</v>
      </c>
      <c r="AA86" s="56">
        <v>2.3E-2</v>
      </c>
      <c r="AB86" s="56">
        <v>2.1899999999999999E-2</v>
      </c>
      <c r="AC86" s="56">
        <v>0.68940000000000001</v>
      </c>
      <c r="AD86" s="56">
        <v>5462.8</v>
      </c>
      <c r="AE86" s="56">
        <v>0.68889999999999996</v>
      </c>
      <c r="AF86" s="56">
        <v>8.2400000000000001E-2</v>
      </c>
      <c r="AG86" s="56">
        <v>0.42470000000000002</v>
      </c>
      <c r="AH86" s="56">
        <v>2.3546</v>
      </c>
      <c r="AI86" s="58">
        <v>11228036</v>
      </c>
      <c r="AJ86" s="58">
        <v>4815560</v>
      </c>
      <c r="AK86" s="58">
        <v>35432560</v>
      </c>
      <c r="AL86" s="58">
        <v>15131949</v>
      </c>
      <c r="AM86" s="57">
        <v>0</v>
      </c>
      <c r="AN86" s="57">
        <v>0</v>
      </c>
      <c r="AO86" s="58">
        <v>50564509</v>
      </c>
      <c r="AP86" s="64" t="s">
        <v>208</v>
      </c>
      <c r="AQ86" s="64">
        <v>2024</v>
      </c>
      <c r="AR86" s="64">
        <v>0</v>
      </c>
      <c r="AS86" s="64">
        <v>0</v>
      </c>
      <c r="AT86" s="64">
        <v>0</v>
      </c>
      <c r="AU86" s="64">
        <v>0</v>
      </c>
      <c r="AV86">
        <v>1</v>
      </c>
      <c r="AW86">
        <v>0</v>
      </c>
      <c r="AX86" s="64">
        <v>0</v>
      </c>
      <c r="AY86" s="64"/>
      <c r="AZ86" s="64">
        <f t="shared" si="1"/>
        <v>1</v>
      </c>
      <c r="BA86" s="64" t="s">
        <v>205</v>
      </c>
    </row>
    <row r="87" spans="1:53" x14ac:dyDescent="0.3">
      <c r="A87" s="55" t="s">
        <v>173</v>
      </c>
      <c r="B87" s="64" t="s">
        <v>160</v>
      </c>
      <c r="C87" s="64">
        <v>16539</v>
      </c>
      <c r="D87" s="64">
        <v>26.1</v>
      </c>
      <c r="E87" s="64">
        <v>2503</v>
      </c>
      <c r="F87" s="64">
        <v>2075</v>
      </c>
      <c r="G87" s="64">
        <v>1015</v>
      </c>
      <c r="H87" s="64">
        <v>164</v>
      </c>
      <c r="I87" s="64">
        <v>480934300</v>
      </c>
      <c r="J87" s="64">
        <v>56889</v>
      </c>
      <c r="K87" s="64">
        <v>32639</v>
      </c>
      <c r="L87" s="64">
        <v>6254</v>
      </c>
      <c r="M87" s="64">
        <v>2.15</v>
      </c>
      <c r="N87" s="64">
        <v>2397</v>
      </c>
      <c r="O87" s="64">
        <v>563</v>
      </c>
      <c r="P87" s="64">
        <v>9684</v>
      </c>
      <c r="Q87" s="73">
        <v>7</v>
      </c>
      <c r="R87" s="73">
        <v>13</v>
      </c>
      <c r="S87" s="73">
        <v>13</v>
      </c>
      <c r="T87" s="73">
        <v>33</v>
      </c>
      <c r="U87" s="56">
        <v>5.2568999999999999</v>
      </c>
      <c r="V87" s="56">
        <v>0.6169</v>
      </c>
      <c r="W87" s="56">
        <v>0.2954</v>
      </c>
      <c r="X87" s="56">
        <v>2468.02</v>
      </c>
      <c r="Y87" s="56">
        <v>0.12039999999999999</v>
      </c>
      <c r="Z87" s="56">
        <v>2.1499999999999998E-2</v>
      </c>
      <c r="AA87" s="56">
        <v>2.6200000000000001E-2</v>
      </c>
      <c r="AB87" s="56">
        <v>4.8800000000000003E-2</v>
      </c>
      <c r="AC87" s="56">
        <v>0.68859999999999999</v>
      </c>
      <c r="AD87" s="56">
        <v>5244.4</v>
      </c>
      <c r="AE87" s="56">
        <v>0.6804</v>
      </c>
      <c r="AF87" s="56">
        <v>0.1085</v>
      </c>
      <c r="AG87" s="56">
        <v>0.37190000000000001</v>
      </c>
      <c r="AH87" s="56">
        <v>2.6888000000000001</v>
      </c>
      <c r="AI87" s="58">
        <v>10361632</v>
      </c>
      <c r="AJ87" s="58">
        <v>4400234</v>
      </c>
      <c r="AK87" s="58">
        <v>22129946</v>
      </c>
      <c r="AL87" s="58">
        <v>15257353</v>
      </c>
      <c r="AM87" s="57">
        <v>0</v>
      </c>
      <c r="AN87" s="57">
        <v>0</v>
      </c>
      <c r="AO87" s="58">
        <v>37387299</v>
      </c>
      <c r="AP87" s="64" t="s">
        <v>209</v>
      </c>
      <c r="AQ87" s="64">
        <v>2021</v>
      </c>
      <c r="AR87" s="64">
        <v>0</v>
      </c>
      <c r="AS87" s="64">
        <v>0</v>
      </c>
      <c r="AT87" s="64">
        <v>0</v>
      </c>
      <c r="AU87" s="64">
        <v>0</v>
      </c>
      <c r="AV87">
        <v>0</v>
      </c>
      <c r="AW87">
        <v>0</v>
      </c>
      <c r="AX87" s="64">
        <v>0</v>
      </c>
      <c r="AY87" s="64"/>
      <c r="AZ87" s="64">
        <f t="shared" si="1"/>
        <v>0</v>
      </c>
      <c r="BA87" s="64" t="s">
        <v>206</v>
      </c>
    </row>
    <row r="88" spans="1:53" s="38" customFormat="1" x14ac:dyDescent="0.3">
      <c r="A88" s="63" t="s">
        <v>174</v>
      </c>
      <c r="B88" s="65" t="s">
        <v>160</v>
      </c>
      <c r="C88" s="65">
        <v>22301</v>
      </c>
      <c r="D88" s="65">
        <v>39.1</v>
      </c>
      <c r="E88" s="65">
        <v>1636</v>
      </c>
      <c r="F88" s="65">
        <v>4983</v>
      </c>
      <c r="G88" s="65">
        <v>3042</v>
      </c>
      <c r="H88" s="65">
        <v>995</v>
      </c>
      <c r="I88" s="65">
        <v>1321142000</v>
      </c>
      <c r="J88" s="65">
        <v>89524</v>
      </c>
      <c r="K88" s="65">
        <v>59443</v>
      </c>
      <c r="L88" s="65">
        <v>10382</v>
      </c>
      <c r="M88" s="65">
        <v>2.13</v>
      </c>
      <c r="N88" s="65">
        <v>1695</v>
      </c>
      <c r="O88" s="65">
        <v>377</v>
      </c>
      <c r="P88" s="65">
        <v>12566</v>
      </c>
      <c r="Q88" s="86">
        <v>5</v>
      </c>
      <c r="R88" s="86">
        <v>6</v>
      </c>
      <c r="S88" s="86">
        <v>11</v>
      </c>
      <c r="T88" s="86">
        <v>22</v>
      </c>
      <c r="U88" s="60">
        <v>0</v>
      </c>
      <c r="V88" s="60">
        <v>0</v>
      </c>
      <c r="W88" s="60">
        <v>0</v>
      </c>
      <c r="X88" s="61">
        <v>1457.5</v>
      </c>
      <c r="Y88" s="60">
        <v>0</v>
      </c>
      <c r="Z88" s="60">
        <v>0</v>
      </c>
      <c r="AA88" s="60">
        <v>0</v>
      </c>
      <c r="AB88" s="60">
        <v>0</v>
      </c>
      <c r="AC88" s="60">
        <v>0</v>
      </c>
      <c r="AD88" s="60">
        <v>0</v>
      </c>
      <c r="AE88" s="60">
        <v>0</v>
      </c>
      <c r="AF88" s="60">
        <v>0</v>
      </c>
      <c r="AG88" s="60">
        <v>0</v>
      </c>
      <c r="AH88" s="60">
        <v>0</v>
      </c>
      <c r="AI88" s="60">
        <v>0</v>
      </c>
      <c r="AJ88" s="60">
        <v>0</v>
      </c>
      <c r="AK88" s="62">
        <v>34788193</v>
      </c>
      <c r="AL88" s="60">
        <v>0</v>
      </c>
      <c r="AM88" s="60">
        <v>0</v>
      </c>
      <c r="AN88" s="60">
        <v>0</v>
      </c>
      <c r="AO88" s="62">
        <v>34788193</v>
      </c>
      <c r="AP88" s="65" t="s">
        <v>209</v>
      </c>
      <c r="AQ88" s="65">
        <v>2022</v>
      </c>
      <c r="AR88" s="64">
        <v>0</v>
      </c>
      <c r="AS88" s="64">
        <v>0</v>
      </c>
      <c r="AT88" s="64">
        <v>0</v>
      </c>
      <c r="AU88" s="64">
        <v>0</v>
      </c>
      <c r="AV88">
        <v>1</v>
      </c>
      <c r="AW88">
        <v>0</v>
      </c>
      <c r="AX88" s="64">
        <v>0</v>
      </c>
      <c r="AY88" s="65"/>
      <c r="AZ88" s="64">
        <f t="shared" si="1"/>
        <v>1</v>
      </c>
      <c r="BA88" s="65" t="s">
        <v>205</v>
      </c>
    </row>
    <row r="89" spans="1:53" x14ac:dyDescent="0.3">
      <c r="A89" s="55" t="s">
        <v>175</v>
      </c>
      <c r="B89" s="64" t="s">
        <v>160</v>
      </c>
      <c r="C89" s="64">
        <v>566973</v>
      </c>
      <c r="D89" s="64">
        <v>32.4</v>
      </c>
      <c r="E89" s="64">
        <v>92393</v>
      </c>
      <c r="F89" s="64">
        <v>63079</v>
      </c>
      <c r="G89" s="64">
        <v>25941</v>
      </c>
      <c r="H89" s="64">
        <v>3886</v>
      </c>
      <c r="I89" s="64">
        <v>17039784700</v>
      </c>
      <c r="J89" s="64">
        <v>54234</v>
      </c>
      <c r="K89" s="64">
        <v>30994</v>
      </c>
      <c r="L89" s="64">
        <v>232520</v>
      </c>
      <c r="M89" s="64">
        <v>2.37</v>
      </c>
      <c r="N89" s="64">
        <v>125891</v>
      </c>
      <c r="O89" s="64">
        <v>17436</v>
      </c>
      <c r="P89" s="64">
        <v>283072</v>
      </c>
      <c r="Q89" s="73">
        <v>8</v>
      </c>
      <c r="R89" s="73">
        <v>15</v>
      </c>
      <c r="S89" s="73">
        <v>17</v>
      </c>
      <c r="T89" s="73">
        <v>40</v>
      </c>
      <c r="U89" s="64">
        <v>1.4145000000000001</v>
      </c>
      <c r="V89" s="64">
        <v>-1.8213999999999999</v>
      </c>
      <c r="W89" s="64">
        <v>0.35859999999999997</v>
      </c>
      <c r="X89" s="88">
        <v>2714.16</v>
      </c>
      <c r="Y89" s="64">
        <v>0.1014</v>
      </c>
      <c r="Z89" s="64">
        <v>0.33960000000000001</v>
      </c>
      <c r="AA89" s="64">
        <v>0.1288</v>
      </c>
      <c r="AB89" s="64">
        <v>0.40029999999999999</v>
      </c>
      <c r="AC89" s="64">
        <v>0.64129999999999998</v>
      </c>
      <c r="AD89" s="88">
        <v>4222.8100000000004</v>
      </c>
      <c r="AE89" s="64">
        <v>-3.1059999999999999</v>
      </c>
      <c r="AF89" s="64">
        <v>-0.52500000000000002</v>
      </c>
      <c r="AG89" s="64">
        <v>1.1140000000000001</v>
      </c>
      <c r="AH89" s="64">
        <v>0.89770000000000005</v>
      </c>
      <c r="AI89" s="79">
        <v>598655</v>
      </c>
      <c r="AJ89" s="79">
        <v>295592</v>
      </c>
      <c r="AK89" s="79">
        <v>1153355</v>
      </c>
      <c r="AL89" s="87">
        <v>148145</v>
      </c>
      <c r="AM89" s="57">
        <v>0</v>
      </c>
      <c r="AN89" s="64">
        <v>0</v>
      </c>
      <c r="AO89" s="79">
        <v>1655000</v>
      </c>
      <c r="AP89" s="64" t="s">
        <v>209</v>
      </c>
      <c r="AQ89" s="64">
        <v>2023</v>
      </c>
      <c r="AR89" s="64">
        <v>0</v>
      </c>
      <c r="AS89" s="64">
        <v>0</v>
      </c>
      <c r="AT89" s="64">
        <v>0</v>
      </c>
      <c r="AU89" s="64">
        <v>0</v>
      </c>
      <c r="AV89">
        <v>1</v>
      </c>
      <c r="AW89">
        <v>1</v>
      </c>
      <c r="AX89" s="64">
        <v>0</v>
      </c>
      <c r="AY89" s="64"/>
      <c r="AZ89" s="64">
        <f t="shared" si="1"/>
        <v>2</v>
      </c>
      <c r="BA89" s="64">
        <v>2</v>
      </c>
    </row>
    <row r="90" spans="1:53" x14ac:dyDescent="0.3">
      <c r="A90" s="55" t="s">
        <v>176</v>
      </c>
      <c r="B90" s="64" t="s">
        <v>160</v>
      </c>
      <c r="C90" s="64">
        <v>11547</v>
      </c>
      <c r="D90" s="64">
        <v>39.6</v>
      </c>
      <c r="E90" s="64">
        <v>1182</v>
      </c>
      <c r="F90" s="64">
        <v>2903</v>
      </c>
      <c r="G90" s="64">
        <v>656</v>
      </c>
      <c r="H90" s="64">
        <v>197</v>
      </c>
      <c r="I90" s="64">
        <v>569727400</v>
      </c>
      <c r="J90" s="64">
        <v>102978</v>
      </c>
      <c r="K90" s="64">
        <v>49569</v>
      </c>
      <c r="L90" s="64">
        <v>4745</v>
      </c>
      <c r="M90" s="64">
        <v>2.42</v>
      </c>
      <c r="N90" s="64">
        <v>535</v>
      </c>
      <c r="O90" s="64">
        <v>140</v>
      </c>
      <c r="P90" s="64">
        <v>6365</v>
      </c>
      <c r="Q90" s="73">
        <v>5</v>
      </c>
      <c r="R90" s="73">
        <v>5</v>
      </c>
      <c r="S90" s="73">
        <v>9</v>
      </c>
      <c r="T90" s="73">
        <v>19</v>
      </c>
      <c r="U90" s="56">
        <v>4.0763999999999996</v>
      </c>
      <c r="V90" s="56">
        <v>0.51029999999999998</v>
      </c>
      <c r="W90" s="56">
        <v>0.32390000000000002</v>
      </c>
      <c r="X90" s="56">
        <v>4202.12</v>
      </c>
      <c r="Y90" s="56">
        <v>6.3700000000000007E-2</v>
      </c>
      <c r="Z90" s="56">
        <v>7.9000000000000008E-3</v>
      </c>
      <c r="AA90" s="56">
        <v>4.1999999999999997E-3</v>
      </c>
      <c r="AB90" s="56">
        <v>9.7999999999999997E-3</v>
      </c>
      <c r="AC90" s="56">
        <v>0.72940000000000005</v>
      </c>
      <c r="AD90" s="56">
        <v>7581.96</v>
      </c>
      <c r="AE90" s="56">
        <v>0.77249999999999996</v>
      </c>
      <c r="AF90" s="56">
        <v>7.3899999999999993E-2</v>
      </c>
      <c r="AG90" s="56">
        <v>0.38550000000000001</v>
      </c>
      <c r="AH90" s="56">
        <v>2.5943000000000001</v>
      </c>
      <c r="AI90" s="58">
        <v>10565765</v>
      </c>
      <c r="AJ90" s="58">
        <v>5470609</v>
      </c>
      <c r="AK90" s="58">
        <v>42042266</v>
      </c>
      <c r="AL90" s="58">
        <v>1475000</v>
      </c>
      <c r="AM90" s="57">
        <v>0</v>
      </c>
      <c r="AN90" s="58">
        <v>5277712</v>
      </c>
      <c r="AO90" s="58">
        <v>52056454</v>
      </c>
      <c r="AP90" s="64" t="s">
        <v>209</v>
      </c>
      <c r="AQ90" s="64">
        <v>2023</v>
      </c>
      <c r="AR90" s="64">
        <v>0</v>
      </c>
      <c r="AS90" s="64">
        <v>0</v>
      </c>
      <c r="AT90" s="64">
        <v>0</v>
      </c>
      <c r="AU90" s="64">
        <v>0</v>
      </c>
      <c r="AV90">
        <v>1</v>
      </c>
      <c r="AW90">
        <v>1</v>
      </c>
      <c r="AX90" s="64">
        <v>0</v>
      </c>
      <c r="AY90" s="64"/>
      <c r="AZ90" s="64">
        <f t="shared" si="1"/>
        <v>2</v>
      </c>
      <c r="BA90" s="64" t="s">
        <v>206</v>
      </c>
    </row>
    <row r="91" spans="1:53" x14ac:dyDescent="0.3">
      <c r="A91" s="55" t="s">
        <v>177</v>
      </c>
      <c r="B91" s="64" t="s">
        <v>160</v>
      </c>
      <c r="C91" s="64">
        <v>920</v>
      </c>
      <c r="D91" s="64">
        <v>36.1</v>
      </c>
      <c r="E91" s="64">
        <v>153</v>
      </c>
      <c r="F91" s="64">
        <v>54</v>
      </c>
      <c r="G91" s="64">
        <v>10</v>
      </c>
      <c r="H91" s="64">
        <v>0</v>
      </c>
      <c r="I91" s="64">
        <v>26120200</v>
      </c>
      <c r="J91" s="64">
        <v>61250</v>
      </c>
      <c r="K91" s="64">
        <v>30895</v>
      </c>
      <c r="L91" s="64">
        <v>352</v>
      </c>
      <c r="M91" s="64">
        <v>2.61</v>
      </c>
      <c r="N91" s="64">
        <v>108</v>
      </c>
      <c r="O91" s="64">
        <v>6</v>
      </c>
      <c r="P91" s="64">
        <v>466</v>
      </c>
      <c r="Q91" s="73">
        <v>7</v>
      </c>
      <c r="R91" s="73">
        <v>9</v>
      </c>
      <c r="S91" s="73">
        <v>11</v>
      </c>
      <c r="T91" s="73">
        <v>27</v>
      </c>
      <c r="U91" s="56">
        <v>3.0615999999999999</v>
      </c>
      <c r="V91" s="56">
        <v>-0.52490000000000003</v>
      </c>
      <c r="W91" s="56">
        <v>0.5605</v>
      </c>
      <c r="X91" s="56">
        <v>12714.28</v>
      </c>
      <c r="Y91" s="56">
        <v>0.13339999999999999</v>
      </c>
      <c r="Z91" s="56">
        <v>5.0000000000000001E-3</v>
      </c>
      <c r="AA91" s="56">
        <v>3.7000000000000002E-3</v>
      </c>
      <c r="AB91" s="56">
        <v>1.24E-2</v>
      </c>
      <c r="AC91" s="56">
        <v>0.8508</v>
      </c>
      <c r="AD91" s="56">
        <v>18365.84</v>
      </c>
      <c r="AE91" s="56">
        <v>1.0583</v>
      </c>
      <c r="AF91" s="56">
        <v>0.19939999999999999</v>
      </c>
      <c r="AG91" s="56">
        <v>0.5978</v>
      </c>
      <c r="AH91" s="56">
        <v>1.6728000000000001</v>
      </c>
      <c r="AI91" s="58">
        <v>851917</v>
      </c>
      <c r="AJ91" s="58">
        <v>689290</v>
      </c>
      <c r="AK91" s="58">
        <v>1150000</v>
      </c>
      <c r="AL91" s="58">
        <v>6144080</v>
      </c>
      <c r="AM91" s="57">
        <v>0</v>
      </c>
      <c r="AN91" s="57">
        <v>0</v>
      </c>
      <c r="AO91" s="58">
        <v>9229444</v>
      </c>
      <c r="AP91" s="64" t="s">
        <v>209</v>
      </c>
      <c r="AQ91" s="64">
        <v>2023</v>
      </c>
      <c r="AR91" s="64">
        <v>0</v>
      </c>
      <c r="AS91" s="64">
        <v>0</v>
      </c>
      <c r="AT91" s="64">
        <v>0</v>
      </c>
      <c r="AU91" s="64">
        <v>0</v>
      </c>
      <c r="AV91">
        <v>1</v>
      </c>
      <c r="AW91">
        <v>0</v>
      </c>
      <c r="AX91" s="64">
        <v>0</v>
      </c>
      <c r="AY91" s="64"/>
      <c r="AZ91" s="64">
        <f t="shared" si="1"/>
        <v>1</v>
      </c>
      <c r="BA91" s="64" t="s">
        <v>207</v>
      </c>
    </row>
    <row r="92" spans="1:53" x14ac:dyDescent="0.3">
      <c r="A92" s="55" t="s">
        <v>178</v>
      </c>
      <c r="B92" s="64" t="s">
        <v>160</v>
      </c>
      <c r="C92" s="64">
        <v>16211</v>
      </c>
      <c r="D92" s="64">
        <v>44.1</v>
      </c>
      <c r="E92" s="64">
        <v>1712</v>
      </c>
      <c r="F92" s="64">
        <v>4353</v>
      </c>
      <c r="G92" s="64">
        <v>2114</v>
      </c>
      <c r="H92" s="64">
        <v>192</v>
      </c>
      <c r="I92" s="64">
        <v>1023311000</v>
      </c>
      <c r="J92" s="64">
        <v>108350</v>
      </c>
      <c r="K92" s="64">
        <v>62623</v>
      </c>
      <c r="L92" s="64">
        <v>6976</v>
      </c>
      <c r="M92" s="64">
        <v>2.31</v>
      </c>
      <c r="N92" s="64">
        <v>599</v>
      </c>
      <c r="O92" s="64">
        <v>218</v>
      </c>
      <c r="P92" s="64">
        <v>8437</v>
      </c>
      <c r="Q92" s="73">
        <v>5</v>
      </c>
      <c r="R92" s="73">
        <v>3</v>
      </c>
      <c r="S92" s="73">
        <v>8</v>
      </c>
      <c r="T92" s="73">
        <v>16</v>
      </c>
      <c r="U92" s="56">
        <v>3.9438</v>
      </c>
      <c r="V92" s="56">
        <v>1.1829000000000001</v>
      </c>
      <c r="W92" s="56">
        <v>0.23669999999999999</v>
      </c>
      <c r="X92" s="56">
        <v>3603.25</v>
      </c>
      <c r="Y92" s="56">
        <v>0.13300000000000001</v>
      </c>
      <c r="Z92" s="56">
        <v>-5.6599999999999998E-2</v>
      </c>
      <c r="AA92" s="57">
        <v>0</v>
      </c>
      <c r="AB92" s="57">
        <v>0</v>
      </c>
      <c r="AC92" s="56">
        <v>0.65090000000000003</v>
      </c>
      <c r="AD92" s="56">
        <v>7880.14</v>
      </c>
      <c r="AE92" s="56">
        <v>0.72989999999999999</v>
      </c>
      <c r="AF92" s="56">
        <v>5.9400000000000001E-2</v>
      </c>
      <c r="AG92" s="56">
        <v>0.2767</v>
      </c>
      <c r="AH92" s="56">
        <v>3.6143000000000001</v>
      </c>
      <c r="AI92" s="58">
        <v>11004582</v>
      </c>
      <c r="AJ92" s="58">
        <v>814237</v>
      </c>
      <c r="AK92" s="58">
        <v>55632355</v>
      </c>
      <c r="AL92" s="58">
        <v>1334559</v>
      </c>
      <c r="AM92" s="57">
        <v>0</v>
      </c>
      <c r="AN92" s="57">
        <v>0</v>
      </c>
      <c r="AO92" s="58">
        <v>56966914</v>
      </c>
      <c r="AP92" s="64" t="s">
        <v>208</v>
      </c>
      <c r="AQ92" s="64">
        <v>2020</v>
      </c>
      <c r="AR92" s="64">
        <v>0</v>
      </c>
      <c r="AS92" s="64">
        <v>0</v>
      </c>
      <c r="AT92" s="64">
        <v>0</v>
      </c>
      <c r="AU92" s="64">
        <v>0</v>
      </c>
      <c r="AV92">
        <v>0</v>
      </c>
      <c r="AW92">
        <v>0</v>
      </c>
      <c r="AX92" s="64">
        <v>0</v>
      </c>
      <c r="AY92" s="64"/>
      <c r="AZ92" s="64">
        <f t="shared" si="1"/>
        <v>0</v>
      </c>
      <c r="BA92" s="64" t="s">
        <v>207</v>
      </c>
    </row>
    <row r="93" spans="1:53" x14ac:dyDescent="0.3">
      <c r="A93" s="55" t="s">
        <v>179</v>
      </c>
      <c r="B93" s="64" t="s">
        <v>160</v>
      </c>
      <c r="C93" s="64">
        <v>32030</v>
      </c>
      <c r="D93" s="64">
        <v>41</v>
      </c>
      <c r="E93" s="64">
        <v>6208</v>
      </c>
      <c r="F93" s="64">
        <v>4255</v>
      </c>
      <c r="G93" s="64">
        <v>1880</v>
      </c>
      <c r="H93" s="64">
        <v>143</v>
      </c>
      <c r="I93" s="64">
        <v>1269768200</v>
      </c>
      <c r="J93" s="64">
        <v>74076</v>
      </c>
      <c r="K93" s="64">
        <v>40295</v>
      </c>
      <c r="L93" s="64">
        <v>14096</v>
      </c>
      <c r="M93" s="64">
        <v>2.2400000000000002</v>
      </c>
      <c r="N93" s="64">
        <v>2609</v>
      </c>
      <c r="O93" s="64">
        <v>557</v>
      </c>
      <c r="P93" s="64">
        <v>17591</v>
      </c>
      <c r="Q93" s="73">
        <v>0</v>
      </c>
      <c r="R93" s="73">
        <v>5</v>
      </c>
      <c r="S93" s="73">
        <v>1</v>
      </c>
      <c r="T93" s="73">
        <v>6</v>
      </c>
      <c r="U93" s="56">
        <v>12.744899999999999</v>
      </c>
      <c r="V93" s="56">
        <v>0.46229999999999999</v>
      </c>
      <c r="W93" s="56">
        <v>0.16189999999999999</v>
      </c>
      <c r="X93" s="56">
        <v>1518.79</v>
      </c>
      <c r="Y93" s="56">
        <v>0.14050000000000001</v>
      </c>
      <c r="Z93" s="56">
        <v>2.6700000000000002E-2</v>
      </c>
      <c r="AA93" s="56">
        <v>9.0899999999999995E-2</v>
      </c>
      <c r="AB93" s="56">
        <v>0.1305</v>
      </c>
      <c r="AC93" s="56">
        <v>0.70520000000000005</v>
      </c>
      <c r="AD93" s="56">
        <v>4839.4799999999996</v>
      </c>
      <c r="AE93" s="56">
        <v>0.84440000000000004</v>
      </c>
      <c r="AF93" s="56">
        <v>2.46E-2</v>
      </c>
      <c r="AG93" s="56">
        <v>0.26050000000000001</v>
      </c>
      <c r="AH93" s="56">
        <v>3.8393000000000002</v>
      </c>
      <c r="AI93" s="58">
        <v>29817242</v>
      </c>
      <c r="AJ93" s="58">
        <v>10631643</v>
      </c>
      <c r="AK93" s="58">
        <v>48904059</v>
      </c>
      <c r="AL93" s="57">
        <v>0</v>
      </c>
      <c r="AM93" s="57">
        <v>0</v>
      </c>
      <c r="AN93" s="57">
        <v>0</v>
      </c>
      <c r="AO93" s="58">
        <v>64702418</v>
      </c>
      <c r="AP93" s="64" t="s">
        <v>209</v>
      </c>
      <c r="AQ93" s="64">
        <v>2023</v>
      </c>
      <c r="AR93" s="64">
        <v>0</v>
      </c>
      <c r="AS93" s="64">
        <v>0</v>
      </c>
      <c r="AT93" s="64">
        <v>0</v>
      </c>
      <c r="AU93" s="64">
        <v>0</v>
      </c>
      <c r="AV93">
        <v>1</v>
      </c>
      <c r="AW93">
        <v>0</v>
      </c>
      <c r="AX93" s="64">
        <v>0</v>
      </c>
      <c r="AY93" s="64"/>
      <c r="AZ93" s="64">
        <f t="shared" si="1"/>
        <v>1</v>
      </c>
      <c r="BA93" s="64" t="s">
        <v>207</v>
      </c>
    </row>
    <row r="94" spans="1:53" x14ac:dyDescent="0.3">
      <c r="A94" s="55" t="s">
        <v>180</v>
      </c>
      <c r="B94" s="64" t="s">
        <v>160</v>
      </c>
      <c r="C94" s="64">
        <v>1555</v>
      </c>
      <c r="D94" s="64">
        <v>38.799999999999997</v>
      </c>
      <c r="E94" s="64">
        <v>349</v>
      </c>
      <c r="F94" s="64">
        <v>112</v>
      </c>
      <c r="G94" s="64">
        <v>58</v>
      </c>
      <c r="H94" s="64">
        <v>0</v>
      </c>
      <c r="I94" s="64">
        <v>50933000</v>
      </c>
      <c r="J94" s="64">
        <v>61875</v>
      </c>
      <c r="K94" s="64">
        <v>33055</v>
      </c>
      <c r="L94" s="64">
        <v>689</v>
      </c>
      <c r="M94" s="64">
        <v>2.17</v>
      </c>
      <c r="N94" s="64">
        <v>96</v>
      </c>
      <c r="O94" s="64">
        <v>9</v>
      </c>
      <c r="P94" s="64">
        <v>783</v>
      </c>
      <c r="Q94" s="73">
        <v>0</v>
      </c>
      <c r="R94" s="73">
        <v>0</v>
      </c>
      <c r="S94" s="73">
        <v>0</v>
      </c>
      <c r="T94" s="73">
        <v>0</v>
      </c>
      <c r="U94" s="56">
        <v>2.1579999999999999</v>
      </c>
      <c r="V94" s="56">
        <v>0.79559999999999997</v>
      </c>
      <c r="W94" s="56">
        <v>0.20780000000000001</v>
      </c>
      <c r="X94" s="56">
        <v>3416.56</v>
      </c>
      <c r="Y94" s="56">
        <v>0.1125</v>
      </c>
      <c r="Z94" s="56">
        <v>1.4500000000000001E-2</v>
      </c>
      <c r="AA94" s="57">
        <v>0</v>
      </c>
      <c r="AB94" s="57">
        <v>0</v>
      </c>
      <c r="AC94" s="56">
        <v>0.6512</v>
      </c>
      <c r="AD94" s="56">
        <v>10422.209999999999</v>
      </c>
      <c r="AE94" s="56">
        <v>0.64829999999999999</v>
      </c>
      <c r="AF94" s="56">
        <v>3.5499999999999997E-2</v>
      </c>
      <c r="AG94" s="56">
        <v>0.24909999999999999</v>
      </c>
      <c r="AH94" s="56">
        <v>4.0145999999999997</v>
      </c>
      <c r="AI94" s="58">
        <v>1225032</v>
      </c>
      <c r="AJ94" s="58">
        <v>614118</v>
      </c>
      <c r="AK94" s="58">
        <v>1900964</v>
      </c>
      <c r="AL94" s="58">
        <v>4016771</v>
      </c>
      <c r="AM94" s="57">
        <v>0</v>
      </c>
      <c r="AN94" s="57">
        <v>0</v>
      </c>
      <c r="AO94" s="58">
        <v>5944817</v>
      </c>
      <c r="AP94" s="64" t="s">
        <v>52</v>
      </c>
      <c r="AQ94" s="64">
        <v>2021</v>
      </c>
      <c r="AR94" s="64">
        <v>0</v>
      </c>
      <c r="AS94" s="64">
        <v>0</v>
      </c>
      <c r="AT94" s="64">
        <v>0</v>
      </c>
      <c r="AU94" s="64">
        <v>0</v>
      </c>
      <c r="AV94">
        <v>0</v>
      </c>
      <c r="AW94">
        <v>0</v>
      </c>
      <c r="AX94" s="64">
        <v>0</v>
      </c>
      <c r="AY94" s="64"/>
      <c r="AZ94" s="64">
        <f t="shared" si="1"/>
        <v>0</v>
      </c>
      <c r="BA94" s="64" t="s">
        <v>207</v>
      </c>
    </row>
    <row r="95" spans="1:53" ht="14.25" customHeight="1" x14ac:dyDescent="0.3">
      <c r="A95" s="55" t="s">
        <v>181</v>
      </c>
      <c r="B95" s="64" t="s">
        <v>204</v>
      </c>
      <c r="C95" s="64">
        <v>18330</v>
      </c>
      <c r="D95" s="64">
        <v>44.3</v>
      </c>
      <c r="E95" s="64">
        <v>3692</v>
      </c>
      <c r="F95" s="64">
        <v>1470</v>
      </c>
      <c r="G95" s="64">
        <v>552</v>
      </c>
      <c r="H95" s="64">
        <v>23</v>
      </c>
      <c r="I95" s="64">
        <v>700910200</v>
      </c>
      <c r="J95" s="64">
        <v>64603</v>
      </c>
      <c r="K95" s="64">
        <v>39282</v>
      </c>
      <c r="L95" s="64">
        <v>7788</v>
      </c>
      <c r="M95" s="64">
        <v>2.29</v>
      </c>
      <c r="N95" s="64">
        <v>2278</v>
      </c>
      <c r="O95" s="64">
        <v>488</v>
      </c>
      <c r="P95" s="64">
        <v>8547</v>
      </c>
      <c r="Q95" s="73">
        <v>5</v>
      </c>
      <c r="R95" s="73">
        <v>11</v>
      </c>
      <c r="S95" s="73">
        <v>14</v>
      </c>
      <c r="T95" s="73">
        <v>30</v>
      </c>
      <c r="U95" s="56">
        <v>12.268000000000001</v>
      </c>
      <c r="V95" s="56">
        <v>0.80800000000000005</v>
      </c>
      <c r="W95" s="56">
        <v>0.22869999999999999</v>
      </c>
      <c r="X95" s="56">
        <v>2793.67</v>
      </c>
      <c r="Y95" s="56">
        <v>0.13980000000000001</v>
      </c>
      <c r="Z95" s="56">
        <v>0.1103</v>
      </c>
      <c r="AA95" s="56">
        <v>1.9599999999999999E-2</v>
      </c>
      <c r="AB95" s="56">
        <v>3.3300000000000003E-2</v>
      </c>
      <c r="AC95" s="56">
        <v>0.68020000000000003</v>
      </c>
      <c r="AD95" s="56">
        <v>7533.29</v>
      </c>
      <c r="AE95" s="56">
        <v>0.73209999999999997</v>
      </c>
      <c r="AF95" s="56">
        <v>8.9899999999999994E-2</v>
      </c>
      <c r="AG95" s="56">
        <v>0.26960000000000001</v>
      </c>
      <c r="AH95" s="56">
        <v>3.7094999999999998</v>
      </c>
      <c r="AI95" s="58">
        <v>10231259</v>
      </c>
      <c r="AJ95" s="58">
        <v>14506873</v>
      </c>
      <c r="AK95" s="58">
        <v>29105000</v>
      </c>
      <c r="AL95" s="58">
        <v>12500000</v>
      </c>
      <c r="AM95" s="57">
        <v>0</v>
      </c>
      <c r="AN95" s="58">
        <v>13277976</v>
      </c>
      <c r="AO95" s="58">
        <v>46420329</v>
      </c>
      <c r="AP95" s="64" t="s">
        <v>208</v>
      </c>
      <c r="AQ95" s="64">
        <v>2021</v>
      </c>
      <c r="AR95" s="64">
        <v>0</v>
      </c>
      <c r="AS95" s="64">
        <v>0</v>
      </c>
      <c r="AT95" s="64">
        <v>0</v>
      </c>
      <c r="AU95" s="64">
        <v>0</v>
      </c>
      <c r="AV95">
        <v>1</v>
      </c>
      <c r="AW95">
        <v>0</v>
      </c>
      <c r="AX95" s="64">
        <v>0</v>
      </c>
      <c r="AY95" s="64"/>
      <c r="AZ95" s="64">
        <f t="shared" si="1"/>
        <v>1</v>
      </c>
      <c r="BA95" s="64" t="s">
        <v>206</v>
      </c>
    </row>
    <row r="96" spans="1:53" ht="14.25" customHeight="1" x14ac:dyDescent="0.3">
      <c r="A96" s="55" t="s">
        <v>182</v>
      </c>
      <c r="B96" s="64" t="s">
        <v>204</v>
      </c>
      <c r="C96" s="64">
        <v>14735</v>
      </c>
      <c r="D96" s="64">
        <v>40.799999999999997</v>
      </c>
      <c r="E96" s="64">
        <v>2604</v>
      </c>
      <c r="F96" s="64">
        <v>2361</v>
      </c>
      <c r="G96" s="64">
        <v>728</v>
      </c>
      <c r="H96" s="64">
        <v>217</v>
      </c>
      <c r="I96" s="64">
        <v>606260300</v>
      </c>
      <c r="J96" s="64">
        <v>61374</v>
      </c>
      <c r="K96" s="64">
        <v>41095</v>
      </c>
      <c r="L96" s="64">
        <v>6975</v>
      </c>
      <c r="M96" s="64">
        <v>2.02</v>
      </c>
      <c r="N96" s="64">
        <v>1702</v>
      </c>
      <c r="O96" s="64">
        <v>275</v>
      </c>
      <c r="P96" s="64">
        <v>7662</v>
      </c>
      <c r="Q96" s="73">
        <v>9</v>
      </c>
      <c r="R96" s="73">
        <v>17</v>
      </c>
      <c r="S96" s="73">
        <v>17</v>
      </c>
      <c r="T96" s="73">
        <v>43</v>
      </c>
      <c r="U96" s="56">
        <v>15.6579</v>
      </c>
      <c r="V96" s="56">
        <v>0.28060000000000002</v>
      </c>
      <c r="W96" s="56">
        <v>0.21729999999999999</v>
      </c>
      <c r="X96" s="56">
        <v>1834.9</v>
      </c>
      <c r="Y96" s="56">
        <v>0.1055</v>
      </c>
      <c r="Z96" s="56">
        <v>0.1055</v>
      </c>
      <c r="AA96" s="56">
        <v>2.0400000000000001E-2</v>
      </c>
      <c r="AB96" s="56">
        <v>2.81E-2</v>
      </c>
      <c r="AC96" s="56">
        <v>0.69359999999999999</v>
      </c>
      <c r="AD96" s="56">
        <v>4943.8999999999996</v>
      </c>
      <c r="AE96" s="56">
        <v>0.79530000000000001</v>
      </c>
      <c r="AF96" s="56">
        <v>0.1153</v>
      </c>
      <c r="AG96" s="56">
        <v>0.29820000000000002</v>
      </c>
      <c r="AH96" s="56">
        <v>3.3530000000000002</v>
      </c>
      <c r="AI96" s="58">
        <v>11778143</v>
      </c>
      <c r="AJ96" s="58">
        <v>7765311</v>
      </c>
      <c r="AK96" s="58">
        <v>25450000</v>
      </c>
      <c r="AL96" s="58">
        <v>14735000</v>
      </c>
      <c r="AM96" s="57">
        <v>0</v>
      </c>
      <c r="AN96" s="58">
        <v>18843831</v>
      </c>
      <c r="AO96" s="58">
        <v>46458390</v>
      </c>
      <c r="AP96" s="64" t="s">
        <v>208</v>
      </c>
      <c r="AQ96" s="64">
        <v>2022</v>
      </c>
      <c r="AR96" s="64">
        <v>0</v>
      </c>
      <c r="AS96" s="64">
        <v>0</v>
      </c>
      <c r="AT96" s="64">
        <v>0</v>
      </c>
      <c r="AU96" s="64">
        <v>0</v>
      </c>
      <c r="AV96">
        <v>1</v>
      </c>
      <c r="AW96">
        <v>0</v>
      </c>
      <c r="AX96" s="64">
        <v>0</v>
      </c>
      <c r="AY96" s="64"/>
      <c r="AZ96" s="64">
        <f t="shared" si="1"/>
        <v>1</v>
      </c>
      <c r="BA96" s="64" t="s">
        <v>207</v>
      </c>
    </row>
    <row r="97" spans="1:53" ht="14.25" customHeight="1" x14ac:dyDescent="0.3">
      <c r="A97" s="55" t="s">
        <v>113</v>
      </c>
      <c r="B97" s="64" t="s">
        <v>204</v>
      </c>
      <c r="C97" s="64">
        <v>88665</v>
      </c>
      <c r="D97" s="64">
        <v>41.1</v>
      </c>
      <c r="E97" s="64">
        <v>10528</v>
      </c>
      <c r="F97" s="64">
        <v>20542</v>
      </c>
      <c r="G97" s="64">
        <v>6619</v>
      </c>
      <c r="H97" s="64">
        <v>946</v>
      </c>
      <c r="I97" s="64">
        <v>4541539000</v>
      </c>
      <c r="J97" s="64">
        <v>93211</v>
      </c>
      <c r="K97" s="64">
        <v>52173</v>
      </c>
      <c r="L97" s="64">
        <v>37601</v>
      </c>
      <c r="M97" s="64">
        <v>2.3199999999999998</v>
      </c>
      <c r="N97" s="64">
        <v>8032</v>
      </c>
      <c r="O97" s="64">
        <v>2397</v>
      </c>
      <c r="P97" s="64">
        <v>50338</v>
      </c>
      <c r="Q97" s="73">
        <v>4</v>
      </c>
      <c r="R97" s="73">
        <v>5</v>
      </c>
      <c r="S97" s="73">
        <v>8</v>
      </c>
      <c r="T97" s="73">
        <v>17</v>
      </c>
      <c r="U97" s="56">
        <v>8.6797000000000004</v>
      </c>
      <c r="V97" s="56">
        <v>0.77500000000000002</v>
      </c>
      <c r="W97" s="56">
        <v>0.1077</v>
      </c>
      <c r="X97" s="56">
        <v>1205.92</v>
      </c>
      <c r="Y97" s="56">
        <v>5.2400000000000002E-2</v>
      </c>
      <c r="Z97" s="56">
        <v>0.18229999999999999</v>
      </c>
      <c r="AA97" s="56">
        <v>1.9699999999999999E-2</v>
      </c>
      <c r="AB97" s="56">
        <v>2.1600000000000001E-2</v>
      </c>
      <c r="AC97" s="56">
        <v>0.57240000000000002</v>
      </c>
      <c r="AD97" s="56">
        <v>5102.07</v>
      </c>
      <c r="AE97" s="56">
        <v>0.65310000000000001</v>
      </c>
      <c r="AF97" s="56">
        <v>0.15359999999999999</v>
      </c>
      <c r="AG97" s="56">
        <v>0.20910000000000001</v>
      </c>
      <c r="AH97" s="56">
        <v>4.7834000000000003</v>
      </c>
      <c r="AI97" s="58">
        <v>107397486</v>
      </c>
      <c r="AJ97" s="58">
        <v>36766605</v>
      </c>
      <c r="AK97" s="58">
        <v>119530569</v>
      </c>
      <c r="AL97" s="58">
        <v>34780000</v>
      </c>
      <c r="AM97" s="57">
        <v>0</v>
      </c>
      <c r="AN97" s="58">
        <v>28431183</v>
      </c>
      <c r="AO97" s="58">
        <v>119530569</v>
      </c>
      <c r="AP97" s="64" t="s">
        <v>209</v>
      </c>
      <c r="AQ97" s="64">
        <v>2024</v>
      </c>
      <c r="AR97" s="64">
        <v>0</v>
      </c>
      <c r="AS97" s="64">
        <v>0</v>
      </c>
      <c r="AT97" s="64">
        <v>0</v>
      </c>
      <c r="AU97" s="64">
        <v>0</v>
      </c>
      <c r="AV97">
        <v>0</v>
      </c>
      <c r="AW97">
        <v>0</v>
      </c>
      <c r="AX97" s="64">
        <v>0</v>
      </c>
      <c r="AY97" s="64"/>
      <c r="AZ97" s="64">
        <f t="shared" si="1"/>
        <v>0</v>
      </c>
      <c r="BA97" s="64" t="s">
        <v>205</v>
      </c>
    </row>
    <row r="98" spans="1:53" ht="14.25" customHeight="1" x14ac:dyDescent="0.3">
      <c r="A98" s="55" t="s">
        <v>183</v>
      </c>
      <c r="B98" s="64" t="s">
        <v>204</v>
      </c>
      <c r="C98" s="64">
        <v>64463</v>
      </c>
      <c r="D98" s="64">
        <v>36.700000000000003</v>
      </c>
      <c r="E98" s="64">
        <v>7660</v>
      </c>
      <c r="F98" s="64">
        <v>12125</v>
      </c>
      <c r="G98" s="64">
        <v>4220</v>
      </c>
      <c r="H98" s="64">
        <v>426</v>
      </c>
      <c r="I98" s="64">
        <v>2728329200</v>
      </c>
      <c r="J98" s="64">
        <v>87024</v>
      </c>
      <c r="K98" s="64">
        <v>43192</v>
      </c>
      <c r="L98" s="64">
        <v>25891</v>
      </c>
      <c r="M98" s="64">
        <v>2.4700000000000002</v>
      </c>
      <c r="N98" s="64">
        <v>6952</v>
      </c>
      <c r="O98" s="64">
        <v>1765</v>
      </c>
      <c r="P98" s="64">
        <v>35381</v>
      </c>
      <c r="Q98" s="73">
        <v>6</v>
      </c>
      <c r="R98" s="73">
        <v>12</v>
      </c>
      <c r="S98" s="73">
        <v>12</v>
      </c>
      <c r="T98" s="73">
        <v>30</v>
      </c>
      <c r="U98" s="56">
        <v>6.5618999999999996</v>
      </c>
      <c r="V98" s="56">
        <v>0.65190000000000003</v>
      </c>
      <c r="W98" s="56">
        <v>0.22450000000000001</v>
      </c>
      <c r="X98" s="56">
        <v>1504.18</v>
      </c>
      <c r="Y98" s="56">
        <v>9.8900000000000002E-2</v>
      </c>
      <c r="Z98" s="56">
        <v>0.18840000000000001</v>
      </c>
      <c r="AA98" s="56">
        <v>7.5399999999999995E-2</v>
      </c>
      <c r="AB98" s="56">
        <v>8.6499999999999994E-2</v>
      </c>
      <c r="AC98" s="56">
        <v>0.63619999999999999</v>
      </c>
      <c r="AD98" s="56">
        <v>3631.77</v>
      </c>
      <c r="AE98" s="56">
        <v>0.70720000000000005</v>
      </c>
      <c r="AF98" s="56">
        <v>6.7199999999999996E-2</v>
      </c>
      <c r="AG98" s="56">
        <v>0.27450000000000002</v>
      </c>
      <c r="AH98" s="56">
        <v>3.6427999999999998</v>
      </c>
      <c r="AI98" s="58">
        <v>56882120</v>
      </c>
      <c r="AJ98" s="58">
        <v>16032586</v>
      </c>
      <c r="AK98" s="58">
        <v>19430000</v>
      </c>
      <c r="AL98" s="58">
        <v>17530000</v>
      </c>
      <c r="AM98" s="58">
        <v>6127000</v>
      </c>
      <c r="AN98" s="58">
        <v>3092972</v>
      </c>
      <c r="AO98" s="58">
        <v>61845433</v>
      </c>
      <c r="AP98" s="64" t="s">
        <v>209</v>
      </c>
      <c r="AQ98" s="64">
        <v>2020</v>
      </c>
      <c r="AR98" s="64">
        <v>0</v>
      </c>
      <c r="AS98" s="64">
        <v>0</v>
      </c>
      <c r="AT98" s="64">
        <v>0</v>
      </c>
      <c r="AU98" s="64">
        <v>0</v>
      </c>
      <c r="AV98">
        <v>1</v>
      </c>
      <c r="AW98">
        <v>0</v>
      </c>
      <c r="AX98" s="64">
        <v>0</v>
      </c>
      <c r="AY98" s="64"/>
      <c r="AZ98" s="64">
        <f t="shared" si="1"/>
        <v>1</v>
      </c>
      <c r="BA98" s="64" t="s">
        <v>205</v>
      </c>
    </row>
    <row r="99" spans="1:53" ht="14.25" customHeight="1" x14ac:dyDescent="0.3">
      <c r="A99" s="55" t="s">
        <v>184</v>
      </c>
      <c r="B99" s="64" t="s">
        <v>204</v>
      </c>
      <c r="C99" s="64">
        <v>63468</v>
      </c>
      <c r="D99" s="64">
        <v>39</v>
      </c>
      <c r="E99" s="64">
        <v>12031</v>
      </c>
      <c r="F99" s="64">
        <v>8805</v>
      </c>
      <c r="G99" s="64">
        <v>2076</v>
      </c>
      <c r="H99" s="64">
        <v>258</v>
      </c>
      <c r="I99" s="64">
        <v>2552040900</v>
      </c>
      <c r="J99" s="64">
        <v>88251</v>
      </c>
      <c r="K99" s="64">
        <v>41400</v>
      </c>
      <c r="L99" s="64">
        <v>24858</v>
      </c>
      <c r="M99" s="64">
        <v>2.5299999999999998</v>
      </c>
      <c r="N99" s="64">
        <v>5195</v>
      </c>
      <c r="O99" s="64">
        <v>1629</v>
      </c>
      <c r="P99" s="64">
        <v>36254</v>
      </c>
      <c r="Q99" s="73">
        <v>6</v>
      </c>
      <c r="R99" s="73">
        <v>11</v>
      </c>
      <c r="S99" s="73">
        <v>14</v>
      </c>
      <c r="T99" s="73">
        <v>31</v>
      </c>
      <c r="U99" s="56">
        <v>5.0856000000000003</v>
      </c>
      <c r="V99" s="56">
        <v>0.5917</v>
      </c>
      <c r="W99" s="56">
        <v>0.1699</v>
      </c>
      <c r="X99" s="56">
        <v>1242.99</v>
      </c>
      <c r="Y99" s="56">
        <v>1.15E-2</v>
      </c>
      <c r="Z99" s="56">
        <v>0.13320000000000001</v>
      </c>
      <c r="AA99" s="56">
        <v>5.6500000000000002E-2</v>
      </c>
      <c r="AB99" s="56">
        <v>8.3599999999999994E-2</v>
      </c>
      <c r="AC99" s="56">
        <v>0.73899999999999999</v>
      </c>
      <c r="AD99" s="56">
        <v>4170.99</v>
      </c>
      <c r="AE99" s="56">
        <v>0.7883</v>
      </c>
      <c r="AF99" s="56">
        <v>5.2900000000000003E-2</v>
      </c>
      <c r="AG99" s="56">
        <v>0.28070000000000001</v>
      </c>
      <c r="AH99" s="56">
        <v>3.5629</v>
      </c>
      <c r="AI99" s="58">
        <v>41166050</v>
      </c>
      <c r="AJ99" s="58">
        <v>10651186</v>
      </c>
      <c r="AK99" s="58">
        <v>51490000</v>
      </c>
      <c r="AL99" s="58">
        <v>29540000</v>
      </c>
      <c r="AM99" s="57">
        <v>0</v>
      </c>
      <c r="AN99" s="58">
        <v>7161880</v>
      </c>
      <c r="AO99" s="58">
        <v>81030000</v>
      </c>
      <c r="AP99" s="64" t="s">
        <v>209</v>
      </c>
      <c r="AQ99" s="64">
        <v>2022</v>
      </c>
      <c r="AR99" s="64">
        <v>0</v>
      </c>
      <c r="AS99" s="64">
        <v>0</v>
      </c>
      <c r="AT99" s="64">
        <v>0</v>
      </c>
      <c r="AU99" s="64">
        <v>0</v>
      </c>
      <c r="AV99">
        <v>0</v>
      </c>
      <c r="AW99">
        <v>0</v>
      </c>
      <c r="AX99" s="64">
        <v>0</v>
      </c>
      <c r="AY99" s="64"/>
      <c r="AZ99" s="64">
        <f t="shared" si="1"/>
        <v>0</v>
      </c>
      <c r="BA99" s="64" t="s">
        <v>206</v>
      </c>
    </row>
    <row r="100" spans="1:53" ht="14.25" customHeight="1" x14ac:dyDescent="0.3">
      <c r="A100" s="55" t="s">
        <v>185</v>
      </c>
      <c r="B100" s="64" t="s">
        <v>204</v>
      </c>
      <c r="C100" s="64">
        <v>87093</v>
      </c>
      <c r="D100" s="64">
        <v>35.200000000000003</v>
      </c>
      <c r="E100" s="64">
        <v>9406</v>
      </c>
      <c r="F100" s="64">
        <v>15127</v>
      </c>
      <c r="G100" s="64">
        <v>6268</v>
      </c>
      <c r="H100" s="64">
        <v>1512</v>
      </c>
      <c r="I100" s="64">
        <v>3542154100</v>
      </c>
      <c r="J100" s="64">
        <v>68807</v>
      </c>
      <c r="K100" s="64">
        <v>41503</v>
      </c>
      <c r="L100" s="64">
        <v>37447</v>
      </c>
      <c r="M100" s="64">
        <v>2.1800000000000002</v>
      </c>
      <c r="N100" s="64">
        <v>13892</v>
      </c>
      <c r="O100" s="64">
        <v>2288</v>
      </c>
      <c r="P100" s="64">
        <v>48580</v>
      </c>
      <c r="Q100" s="73">
        <v>5</v>
      </c>
      <c r="R100" s="73">
        <v>12</v>
      </c>
      <c r="S100" s="73">
        <v>10</v>
      </c>
      <c r="T100" s="73">
        <v>27</v>
      </c>
      <c r="U100" s="56">
        <v>2.8896999999999999</v>
      </c>
      <c r="V100" s="56">
        <v>3.8899999999999997E-2</v>
      </c>
      <c r="W100" s="56">
        <v>0.1176</v>
      </c>
      <c r="X100" s="56">
        <v>1460.3</v>
      </c>
      <c r="Y100" s="56">
        <v>1.61E-2</v>
      </c>
      <c r="Z100" s="56">
        <v>0.14530000000000001</v>
      </c>
      <c r="AA100" s="56">
        <v>0.16009999999999999</v>
      </c>
      <c r="AB100" s="56">
        <v>0.16650000000000001</v>
      </c>
      <c r="AC100" s="56">
        <v>0.69430000000000003</v>
      </c>
      <c r="AD100" s="56">
        <v>7358.04</v>
      </c>
      <c r="AE100" s="56">
        <v>0.86019999999999996</v>
      </c>
      <c r="AF100" s="56">
        <v>0.1244</v>
      </c>
      <c r="AG100" s="56">
        <v>0.28949999999999998</v>
      </c>
      <c r="AH100" s="56">
        <v>3.4542999999999999</v>
      </c>
      <c r="AI100" s="58">
        <v>94708039</v>
      </c>
      <c r="AJ100" s="58">
        <v>38151555</v>
      </c>
      <c r="AK100" s="58">
        <v>69395000</v>
      </c>
      <c r="AL100" s="58">
        <v>33320441</v>
      </c>
      <c r="AM100" s="57">
        <v>0</v>
      </c>
      <c r="AN100" s="58">
        <v>46922498</v>
      </c>
      <c r="AO100" s="58">
        <v>155344549</v>
      </c>
      <c r="AP100" s="64" t="s">
        <v>208</v>
      </c>
      <c r="AQ100" s="64">
        <v>2022</v>
      </c>
      <c r="AR100" s="64">
        <v>0</v>
      </c>
      <c r="AS100" s="64">
        <v>0</v>
      </c>
      <c r="AT100" s="64">
        <v>1</v>
      </c>
      <c r="AU100" s="64">
        <v>0</v>
      </c>
      <c r="AV100">
        <v>0</v>
      </c>
      <c r="AW100">
        <v>0</v>
      </c>
      <c r="AX100" s="64">
        <v>0</v>
      </c>
      <c r="AY100" s="64"/>
      <c r="AZ100" s="64">
        <f t="shared" si="1"/>
        <v>1</v>
      </c>
      <c r="BA100" s="64" t="s">
        <v>205</v>
      </c>
    </row>
    <row r="101" spans="1:53" ht="14.25" customHeight="1" x14ac:dyDescent="0.3">
      <c r="A101" s="55" t="s">
        <v>186</v>
      </c>
      <c r="B101" s="64" t="s">
        <v>204</v>
      </c>
      <c r="C101" s="64">
        <v>68000</v>
      </c>
      <c r="D101" s="64">
        <v>39.299999999999997</v>
      </c>
      <c r="E101" s="64">
        <v>6109</v>
      </c>
      <c r="F101" s="64">
        <v>16727</v>
      </c>
      <c r="G101" s="64">
        <v>6726</v>
      </c>
      <c r="H101" s="64">
        <v>1111</v>
      </c>
      <c r="I101" s="64">
        <v>3847623000</v>
      </c>
      <c r="J101" s="64">
        <v>108690</v>
      </c>
      <c r="K101" s="64">
        <v>57112</v>
      </c>
      <c r="L101" s="64">
        <v>28264</v>
      </c>
      <c r="M101" s="64">
        <v>2.39</v>
      </c>
      <c r="N101" s="64">
        <v>4018</v>
      </c>
      <c r="O101" s="64">
        <v>1475</v>
      </c>
      <c r="P101" s="64">
        <v>39863</v>
      </c>
      <c r="Q101" s="73">
        <v>7</v>
      </c>
      <c r="R101" s="73">
        <v>16</v>
      </c>
      <c r="S101" s="73">
        <v>15</v>
      </c>
      <c r="T101" s="73">
        <v>38</v>
      </c>
      <c r="U101" s="56">
        <v>7.03</v>
      </c>
      <c r="V101" s="56">
        <v>0.83779999999999999</v>
      </c>
      <c r="W101" s="56">
        <v>8.2699999999999996E-2</v>
      </c>
      <c r="X101" s="56">
        <v>748.25</v>
      </c>
      <c r="Y101" s="56">
        <v>1.8800000000000001E-2</v>
      </c>
      <c r="Z101" s="56">
        <v>0.21740000000000001</v>
      </c>
      <c r="AA101" s="56">
        <v>8.6999999999999994E-2</v>
      </c>
      <c r="AB101" s="56">
        <v>9.2100000000000001E-2</v>
      </c>
      <c r="AC101" s="56">
        <v>0.71109999999999995</v>
      </c>
      <c r="AD101" s="56">
        <v>4927</v>
      </c>
      <c r="AE101" s="56">
        <v>0.77349999999999997</v>
      </c>
      <c r="AF101" s="56">
        <v>7.1599999999999997E-2</v>
      </c>
      <c r="AG101" s="56">
        <v>0.16120000000000001</v>
      </c>
      <c r="AH101" s="56">
        <v>6.2035999999999998</v>
      </c>
      <c r="AI101" s="58">
        <v>53148407</v>
      </c>
      <c r="AJ101" s="58">
        <v>18522603</v>
      </c>
      <c r="AK101" s="58">
        <v>52985000</v>
      </c>
      <c r="AL101" s="57">
        <v>0</v>
      </c>
      <c r="AM101" s="57">
        <v>0</v>
      </c>
      <c r="AN101" s="58">
        <v>11955803</v>
      </c>
      <c r="AO101" s="58">
        <v>52985000</v>
      </c>
      <c r="AP101" s="64" t="s">
        <v>209</v>
      </c>
      <c r="AQ101" s="64">
        <v>2025</v>
      </c>
      <c r="AR101" s="64">
        <v>0</v>
      </c>
      <c r="AS101" s="64">
        <v>0</v>
      </c>
      <c r="AT101" s="64">
        <v>0</v>
      </c>
      <c r="AU101" s="64">
        <v>0</v>
      </c>
      <c r="AV101">
        <v>0</v>
      </c>
      <c r="AW101">
        <v>0</v>
      </c>
      <c r="AX101" s="64">
        <v>0</v>
      </c>
      <c r="AY101" s="64"/>
      <c r="AZ101" s="64">
        <f t="shared" si="1"/>
        <v>0</v>
      </c>
      <c r="BA101" s="64" t="s">
        <v>205</v>
      </c>
    </row>
    <row r="102" spans="1:53" ht="14.25" customHeight="1" x14ac:dyDescent="0.3">
      <c r="A102" s="55" t="s">
        <v>187</v>
      </c>
      <c r="B102" s="64" t="s">
        <v>204</v>
      </c>
      <c r="C102" s="64">
        <v>63051</v>
      </c>
      <c r="D102" s="64">
        <v>41.3</v>
      </c>
      <c r="E102" s="64">
        <v>3907</v>
      </c>
      <c r="F102" s="64">
        <v>17597</v>
      </c>
      <c r="G102" s="64">
        <v>8475</v>
      </c>
      <c r="H102" s="64">
        <v>1245</v>
      </c>
      <c r="I102" s="64">
        <v>4515780300</v>
      </c>
      <c r="J102" s="64">
        <v>130489</v>
      </c>
      <c r="K102" s="64">
        <v>71657</v>
      </c>
      <c r="L102" s="64">
        <v>25665</v>
      </c>
      <c r="M102" s="64">
        <v>2.4500000000000002</v>
      </c>
      <c r="N102" s="64">
        <v>2876</v>
      </c>
      <c r="O102" s="64">
        <v>1300</v>
      </c>
      <c r="P102" s="64">
        <v>35740</v>
      </c>
      <c r="Q102" s="73">
        <v>2</v>
      </c>
      <c r="R102" s="73">
        <v>8</v>
      </c>
      <c r="S102" s="73">
        <v>6</v>
      </c>
      <c r="T102" s="73">
        <v>16</v>
      </c>
      <c r="U102" s="56">
        <v>29.678899999999999</v>
      </c>
      <c r="V102" s="56">
        <v>1.0454000000000001</v>
      </c>
      <c r="W102" s="56">
        <v>8.4699999999999998E-2</v>
      </c>
      <c r="X102" s="56">
        <v>692.89</v>
      </c>
      <c r="Y102" s="56">
        <v>4.1700000000000001E-2</v>
      </c>
      <c r="Z102" s="56">
        <v>0.26769999999999999</v>
      </c>
      <c r="AA102" s="56">
        <v>3.2500000000000001E-2</v>
      </c>
      <c r="AB102" s="56">
        <v>1.7600000000000001E-2</v>
      </c>
      <c r="AC102" s="56">
        <v>0.66620000000000001</v>
      </c>
      <c r="AD102" s="56">
        <v>2785.22</v>
      </c>
      <c r="AE102" s="56">
        <v>0.71099999999999997</v>
      </c>
      <c r="AF102" s="56">
        <v>3.7600000000000001E-2</v>
      </c>
      <c r="AG102" s="56">
        <v>0.113</v>
      </c>
      <c r="AH102" s="56">
        <v>8.8508999999999993</v>
      </c>
      <c r="AI102" s="58">
        <v>50363858</v>
      </c>
      <c r="AJ102" s="58">
        <v>16803295</v>
      </c>
      <c r="AK102" s="58">
        <v>22015000</v>
      </c>
      <c r="AL102" s="58">
        <v>9882130</v>
      </c>
      <c r="AM102" s="57">
        <v>0</v>
      </c>
      <c r="AN102" s="58">
        <v>20159677</v>
      </c>
      <c r="AO102" s="58">
        <v>31897130</v>
      </c>
      <c r="AP102" s="64" t="s">
        <v>208</v>
      </c>
      <c r="AQ102" s="64">
        <v>2025</v>
      </c>
      <c r="AR102" s="64">
        <v>0</v>
      </c>
      <c r="AS102" s="64">
        <v>0</v>
      </c>
      <c r="AT102" s="64">
        <v>0</v>
      </c>
      <c r="AU102" s="64">
        <v>0</v>
      </c>
      <c r="AV102">
        <v>0</v>
      </c>
      <c r="AW102">
        <v>0</v>
      </c>
      <c r="AX102" s="64">
        <v>0</v>
      </c>
      <c r="AY102" s="64"/>
      <c r="AZ102" s="64">
        <f t="shared" si="1"/>
        <v>0</v>
      </c>
      <c r="BA102" s="64" t="s">
        <v>205</v>
      </c>
    </row>
    <row r="103" spans="1:53" ht="14.25" customHeight="1" x14ac:dyDescent="0.3">
      <c r="A103" s="55" t="s">
        <v>188</v>
      </c>
      <c r="B103" s="64" t="s">
        <v>204</v>
      </c>
      <c r="C103" s="64">
        <v>53262</v>
      </c>
      <c r="D103" s="64">
        <v>44.9</v>
      </c>
      <c r="E103" s="64">
        <v>2748</v>
      </c>
      <c r="F103" s="64">
        <v>16004</v>
      </c>
      <c r="G103" s="64">
        <v>7408</v>
      </c>
      <c r="H103" s="64">
        <v>1432</v>
      </c>
      <c r="I103" s="64">
        <v>4919888100</v>
      </c>
      <c r="J103" s="64">
        <v>128767</v>
      </c>
      <c r="K103" s="64">
        <v>93210</v>
      </c>
      <c r="L103" s="64">
        <v>22914</v>
      </c>
      <c r="M103" s="64">
        <v>2.29</v>
      </c>
      <c r="N103" s="64">
        <v>2457</v>
      </c>
      <c r="O103" s="64">
        <v>1071</v>
      </c>
      <c r="P103" s="64">
        <v>27288</v>
      </c>
      <c r="Q103" s="73">
        <v>8</v>
      </c>
      <c r="R103" s="73">
        <v>16</v>
      </c>
      <c r="S103" s="73">
        <v>18</v>
      </c>
      <c r="T103" s="73">
        <v>42</v>
      </c>
      <c r="U103" s="56">
        <v>6.6105</v>
      </c>
      <c r="V103" s="56">
        <v>0.48670000000000002</v>
      </c>
      <c r="W103" s="56">
        <v>0.2586</v>
      </c>
      <c r="X103" s="56">
        <v>311.3</v>
      </c>
      <c r="Y103" s="56">
        <v>2.9899999999999999E-2</v>
      </c>
      <c r="Z103" s="56">
        <v>8.6900000000000005E-2</v>
      </c>
      <c r="AA103" s="56">
        <v>1.6400000000000001E-2</v>
      </c>
      <c r="AB103" s="56">
        <v>3.2300000000000002E-2</v>
      </c>
      <c r="AC103" s="56">
        <v>0.5887</v>
      </c>
      <c r="AD103" s="56">
        <v>4561.04</v>
      </c>
      <c r="AE103" s="56">
        <v>0.60450000000000004</v>
      </c>
      <c r="AF103" s="56">
        <v>0.23080000000000001</v>
      </c>
      <c r="AG103" s="56">
        <v>0.39560000000000001</v>
      </c>
      <c r="AH103" s="56">
        <v>2.5278</v>
      </c>
      <c r="AI103" s="58">
        <v>66483912</v>
      </c>
      <c r="AJ103" s="58">
        <v>17096087</v>
      </c>
      <c r="AK103" s="58">
        <v>60315000</v>
      </c>
      <c r="AL103" s="58">
        <v>52027000</v>
      </c>
      <c r="AM103" s="57">
        <v>0</v>
      </c>
      <c r="AN103" s="58">
        <v>19797718</v>
      </c>
      <c r="AO103" s="58">
        <v>186366000</v>
      </c>
      <c r="AP103" s="64" t="s">
        <v>208</v>
      </c>
      <c r="AQ103" s="64">
        <v>2021</v>
      </c>
      <c r="AR103" s="64">
        <v>0</v>
      </c>
      <c r="AS103" s="64">
        <v>0</v>
      </c>
      <c r="AT103" s="64">
        <v>0</v>
      </c>
      <c r="AU103" s="64">
        <v>0</v>
      </c>
      <c r="AV103">
        <v>1</v>
      </c>
      <c r="AW103">
        <v>0</v>
      </c>
      <c r="AX103" s="64">
        <v>0</v>
      </c>
      <c r="AY103" s="64"/>
      <c r="AZ103" s="64">
        <f t="shared" si="1"/>
        <v>1</v>
      </c>
      <c r="BA103" s="64" t="s">
        <v>205</v>
      </c>
    </row>
    <row r="104" spans="1:53" ht="14.25" customHeight="1" x14ac:dyDescent="0.3">
      <c r="A104" s="55" t="s">
        <v>189</v>
      </c>
      <c r="B104" s="64" t="s">
        <v>204</v>
      </c>
      <c r="C104" s="64">
        <v>5085</v>
      </c>
      <c r="D104" s="64">
        <v>34.4</v>
      </c>
      <c r="E104" s="64">
        <v>245</v>
      </c>
      <c r="F104" s="64">
        <v>1098</v>
      </c>
      <c r="G104" s="64">
        <v>792</v>
      </c>
      <c r="H104" s="64">
        <v>390</v>
      </c>
      <c r="I104" s="64">
        <v>248374100</v>
      </c>
      <c r="J104" s="64">
        <v>96528</v>
      </c>
      <c r="K104" s="64">
        <v>49777</v>
      </c>
      <c r="L104" s="64">
        <v>2039</v>
      </c>
      <c r="M104" s="64">
        <v>2.31</v>
      </c>
      <c r="N104" s="64">
        <v>356</v>
      </c>
      <c r="O104" s="64">
        <v>143</v>
      </c>
      <c r="P104" s="64">
        <v>2963</v>
      </c>
      <c r="Q104" s="73">
        <v>8</v>
      </c>
      <c r="R104" s="73">
        <v>15</v>
      </c>
      <c r="S104" s="73">
        <v>12</v>
      </c>
      <c r="T104" s="73">
        <v>35</v>
      </c>
      <c r="U104" s="56">
        <v>9.5504999999999995</v>
      </c>
      <c r="V104" s="56">
        <v>1.7033</v>
      </c>
      <c r="W104" s="56">
        <v>2.8799999999999999E-2</v>
      </c>
      <c r="X104" s="56">
        <v>123.76</v>
      </c>
      <c r="Y104" s="56">
        <v>5.0999999999999997E-2</v>
      </c>
      <c r="Z104" s="56">
        <v>0.1762</v>
      </c>
      <c r="AA104" s="57">
        <v>0</v>
      </c>
      <c r="AB104" s="57">
        <v>0</v>
      </c>
      <c r="AC104" s="56">
        <v>0.46089999999999998</v>
      </c>
      <c r="AD104" s="56">
        <v>691.04</v>
      </c>
      <c r="AE104" s="56">
        <v>0.51559999999999995</v>
      </c>
      <c r="AF104" s="56">
        <v>3.5900000000000001E-2</v>
      </c>
      <c r="AG104" s="56">
        <v>7.9799999999999996E-2</v>
      </c>
      <c r="AH104" s="56">
        <v>12.5273</v>
      </c>
      <c r="AI104" s="58">
        <v>2679518</v>
      </c>
      <c r="AJ104" s="58">
        <v>809868</v>
      </c>
      <c r="AK104" s="58">
        <v>1055000</v>
      </c>
      <c r="AL104" s="57">
        <v>0</v>
      </c>
      <c r="AM104" s="57">
        <v>0</v>
      </c>
      <c r="AN104" s="57">
        <v>0</v>
      </c>
      <c r="AO104" s="58">
        <v>1055000</v>
      </c>
      <c r="AP104" s="64" t="s">
        <v>209</v>
      </c>
      <c r="AQ104" s="64">
        <v>2025</v>
      </c>
      <c r="AR104" s="64">
        <v>0</v>
      </c>
      <c r="AS104" s="64">
        <v>0</v>
      </c>
      <c r="AT104" s="64">
        <v>0</v>
      </c>
      <c r="AU104" s="64">
        <v>0</v>
      </c>
      <c r="AV104">
        <v>0</v>
      </c>
      <c r="AW104">
        <v>0</v>
      </c>
      <c r="AX104" s="64">
        <v>0</v>
      </c>
      <c r="AY104" s="64"/>
      <c r="AZ104" s="64">
        <f t="shared" si="1"/>
        <v>0</v>
      </c>
      <c r="BA104" s="64" t="s">
        <v>206</v>
      </c>
    </row>
    <row r="105" spans="1:53" ht="14.25" customHeight="1" x14ac:dyDescent="0.3">
      <c r="A105" s="55" t="s">
        <v>190</v>
      </c>
      <c r="B105" s="64" t="s">
        <v>204</v>
      </c>
      <c r="C105" s="64">
        <v>21725</v>
      </c>
      <c r="D105" s="64">
        <v>44.2</v>
      </c>
      <c r="E105" s="64">
        <v>2157</v>
      </c>
      <c r="F105" s="64">
        <v>5936</v>
      </c>
      <c r="G105" s="64">
        <v>2658</v>
      </c>
      <c r="H105" s="64">
        <v>578</v>
      </c>
      <c r="I105" s="64">
        <v>1476794500</v>
      </c>
      <c r="J105" s="64">
        <v>108772</v>
      </c>
      <c r="K105" s="64">
        <v>68225</v>
      </c>
      <c r="L105" s="64">
        <v>9623</v>
      </c>
      <c r="M105" s="64">
        <v>2.21</v>
      </c>
      <c r="N105" s="64">
        <v>1952</v>
      </c>
      <c r="O105" s="64">
        <v>543</v>
      </c>
      <c r="P105" s="64">
        <v>11919</v>
      </c>
      <c r="Q105" s="73">
        <v>6</v>
      </c>
      <c r="R105" s="73">
        <v>12</v>
      </c>
      <c r="S105" s="73">
        <v>14</v>
      </c>
      <c r="T105" s="73">
        <v>32</v>
      </c>
      <c r="U105" s="64">
        <v>9.4041999999999994</v>
      </c>
      <c r="V105" s="64">
        <v>1.2970999999999999</v>
      </c>
      <c r="W105" s="64">
        <v>0.1721</v>
      </c>
      <c r="X105" s="88">
        <v>2306.5700000000002</v>
      </c>
      <c r="Y105" s="64">
        <v>0.13469999999999999</v>
      </c>
      <c r="Z105" s="64">
        <v>9.8299999999999998E-2</v>
      </c>
      <c r="AA105" s="64">
        <v>3.7100000000000001E-2</v>
      </c>
      <c r="AB105" s="64">
        <v>5.2499999999999998E-2</v>
      </c>
      <c r="AC105" s="64">
        <v>0.52980000000000005</v>
      </c>
      <c r="AD105" s="88">
        <v>5600.2</v>
      </c>
      <c r="AE105" s="64">
        <v>0.48139999999999999</v>
      </c>
      <c r="AF105" s="64">
        <v>0.18990000000000001</v>
      </c>
      <c r="AG105" s="64">
        <v>0.26129999999999998</v>
      </c>
      <c r="AH105" s="64">
        <v>3.8256999999999999</v>
      </c>
      <c r="AI105" s="87">
        <v>7560759</v>
      </c>
      <c r="AJ105" s="87">
        <v>10071817</v>
      </c>
      <c r="AK105" s="87">
        <v>40180000</v>
      </c>
      <c r="AL105" s="87">
        <v>1960000</v>
      </c>
      <c r="AM105" s="87">
        <v>12715000</v>
      </c>
      <c r="AN105" s="14">
        <v>0</v>
      </c>
      <c r="AO105" s="87">
        <v>54855000</v>
      </c>
      <c r="AP105" s="64" t="s">
        <v>209</v>
      </c>
      <c r="AQ105" s="64">
        <v>2021</v>
      </c>
      <c r="AR105" s="64">
        <v>0</v>
      </c>
      <c r="AS105" s="64">
        <v>0</v>
      </c>
      <c r="AT105" s="64">
        <v>0</v>
      </c>
      <c r="AU105" s="64">
        <v>0</v>
      </c>
      <c r="AV105">
        <v>0</v>
      </c>
      <c r="AW105">
        <v>0</v>
      </c>
      <c r="AX105" s="64">
        <v>0</v>
      </c>
      <c r="AY105" s="64"/>
      <c r="AZ105" s="64">
        <f t="shared" si="1"/>
        <v>0</v>
      </c>
      <c r="BA105" s="64" t="s">
        <v>205</v>
      </c>
    </row>
    <row r="106" spans="1:53" ht="14.25" customHeight="1" x14ac:dyDescent="0.3">
      <c r="A106" s="55" t="s">
        <v>191</v>
      </c>
      <c r="B106" s="64" t="s">
        <v>204</v>
      </c>
      <c r="C106" s="64">
        <v>18819</v>
      </c>
      <c r="D106" s="64">
        <v>37.799999999999997</v>
      </c>
      <c r="E106" s="64">
        <v>2390</v>
      </c>
      <c r="F106" s="64">
        <v>4476</v>
      </c>
      <c r="G106" s="64">
        <v>1586</v>
      </c>
      <c r="H106" s="64">
        <v>157</v>
      </c>
      <c r="I106" s="64">
        <v>903931400</v>
      </c>
      <c r="J106" s="64">
        <v>75234</v>
      </c>
      <c r="K106" s="64">
        <v>48787</v>
      </c>
      <c r="L106" s="64">
        <v>9547</v>
      </c>
      <c r="M106" s="64">
        <v>1.94</v>
      </c>
      <c r="N106" s="64">
        <v>2258</v>
      </c>
      <c r="O106" s="64">
        <v>724</v>
      </c>
      <c r="P106" s="64">
        <v>11278</v>
      </c>
      <c r="Q106" s="73">
        <v>6</v>
      </c>
      <c r="R106" s="73">
        <v>12</v>
      </c>
      <c r="S106" s="73">
        <v>14</v>
      </c>
      <c r="T106" s="73">
        <v>32</v>
      </c>
      <c r="U106" s="56">
        <v>4.0646000000000004</v>
      </c>
      <c r="V106" s="56">
        <v>0.40450000000000003</v>
      </c>
      <c r="W106" s="56">
        <v>0.38340000000000002</v>
      </c>
      <c r="X106" s="56">
        <v>4361.6400000000003</v>
      </c>
      <c r="Y106" s="56">
        <v>0.21049999999999999</v>
      </c>
      <c r="Z106" s="56">
        <v>6.3799999999999996E-2</v>
      </c>
      <c r="AA106" s="56">
        <v>6.7999999999999996E-3</v>
      </c>
      <c r="AB106" s="56">
        <v>1.7000000000000001E-2</v>
      </c>
      <c r="AC106" s="56">
        <v>0.7298</v>
      </c>
      <c r="AD106" s="56">
        <v>7511.81</v>
      </c>
      <c r="AE106" s="56">
        <v>0.66220000000000001</v>
      </c>
      <c r="AF106" s="56">
        <v>0.1623</v>
      </c>
      <c r="AG106" s="56">
        <v>0.51390000000000002</v>
      </c>
      <c r="AH106" s="56">
        <v>1.9457</v>
      </c>
      <c r="AI106" s="58">
        <v>25607159</v>
      </c>
      <c r="AJ106" s="58">
        <v>8400394</v>
      </c>
      <c r="AK106" s="58">
        <v>43860000</v>
      </c>
      <c r="AL106" s="58">
        <v>27070000</v>
      </c>
      <c r="AM106" s="57">
        <v>0</v>
      </c>
      <c r="AN106" s="57">
        <v>0</v>
      </c>
      <c r="AO106" s="58">
        <v>84160000</v>
      </c>
      <c r="AP106" s="64" t="s">
        <v>208</v>
      </c>
      <c r="AQ106" s="64">
        <v>2025</v>
      </c>
      <c r="AR106" s="64">
        <v>0</v>
      </c>
      <c r="AS106" s="64">
        <v>0</v>
      </c>
      <c r="AT106" s="64">
        <v>0</v>
      </c>
      <c r="AU106" s="64">
        <v>0</v>
      </c>
      <c r="AV106">
        <v>0</v>
      </c>
      <c r="AW106">
        <v>0</v>
      </c>
      <c r="AX106" s="64">
        <v>0</v>
      </c>
      <c r="AY106" s="64"/>
      <c r="AZ106" s="64">
        <f t="shared" si="1"/>
        <v>0</v>
      </c>
      <c r="BA106" s="64" t="s">
        <v>205</v>
      </c>
    </row>
    <row r="107" spans="1:53" ht="14.25" customHeight="1" x14ac:dyDescent="0.3">
      <c r="A107" s="55" t="s">
        <v>192</v>
      </c>
      <c r="B107" s="64" t="s">
        <v>204</v>
      </c>
      <c r="C107" s="64">
        <v>35906</v>
      </c>
      <c r="D107" s="64">
        <v>41.6</v>
      </c>
      <c r="E107" s="64">
        <v>4469</v>
      </c>
      <c r="F107" s="64">
        <v>7556</v>
      </c>
      <c r="G107" s="64">
        <v>2811</v>
      </c>
      <c r="H107" s="64">
        <v>417</v>
      </c>
      <c r="I107" s="64">
        <v>1970548700</v>
      </c>
      <c r="J107" s="64">
        <v>101316</v>
      </c>
      <c r="K107" s="64">
        <v>55446</v>
      </c>
      <c r="L107" s="64">
        <v>15158</v>
      </c>
      <c r="M107" s="64">
        <v>2.35</v>
      </c>
      <c r="N107" s="64">
        <v>1734</v>
      </c>
      <c r="O107" s="64">
        <v>756</v>
      </c>
      <c r="P107" s="64">
        <v>20774</v>
      </c>
      <c r="Q107" s="73">
        <v>7</v>
      </c>
      <c r="R107" s="73">
        <v>10</v>
      </c>
      <c r="S107" s="73">
        <v>11</v>
      </c>
      <c r="T107" s="73">
        <v>28</v>
      </c>
      <c r="U107" s="56">
        <v>8.4332999999999991</v>
      </c>
      <c r="V107" s="56">
        <v>1.7</v>
      </c>
      <c r="W107" s="56">
        <v>0.12920000000000001</v>
      </c>
      <c r="X107" s="56">
        <v>1284.5</v>
      </c>
      <c r="Y107" s="56">
        <v>1.7100000000000001E-2</v>
      </c>
      <c r="Z107" s="56">
        <v>-1.8700000000000001E-2</v>
      </c>
      <c r="AA107" s="56">
        <v>4.5499999999999999E-2</v>
      </c>
      <c r="AB107" s="56">
        <v>4.9500000000000002E-2</v>
      </c>
      <c r="AC107" s="56">
        <v>0.61860000000000004</v>
      </c>
      <c r="AD107" s="56">
        <v>4378.7</v>
      </c>
      <c r="AE107" s="56">
        <v>0.6351</v>
      </c>
      <c r="AF107" s="56">
        <v>4.8500000000000001E-2</v>
      </c>
      <c r="AG107" s="56">
        <v>0.16769999999999999</v>
      </c>
      <c r="AH107" s="56">
        <v>5.9645000000000001</v>
      </c>
      <c r="AI107" s="58">
        <v>34365777</v>
      </c>
      <c r="AJ107" s="58">
        <v>11848493</v>
      </c>
      <c r="AK107" s="58">
        <v>23250000</v>
      </c>
      <c r="AL107" s="58">
        <v>8910000</v>
      </c>
      <c r="AM107" s="57">
        <v>0</v>
      </c>
      <c r="AN107" s="58">
        <v>6141985</v>
      </c>
      <c r="AO107" s="58">
        <v>32197370</v>
      </c>
      <c r="AP107" s="64" t="s">
        <v>209</v>
      </c>
      <c r="AQ107" s="64">
        <v>2021</v>
      </c>
      <c r="AR107" s="64">
        <v>0</v>
      </c>
      <c r="AS107" s="64">
        <v>0</v>
      </c>
      <c r="AT107" s="64">
        <v>0</v>
      </c>
      <c r="AU107" s="64">
        <v>0</v>
      </c>
      <c r="AV107">
        <v>1</v>
      </c>
      <c r="AW107">
        <v>0</v>
      </c>
      <c r="AX107" s="64">
        <v>0</v>
      </c>
      <c r="AY107" s="64"/>
      <c r="AZ107" s="64">
        <f t="shared" si="1"/>
        <v>1</v>
      </c>
      <c r="BA107" s="64" t="s">
        <v>206</v>
      </c>
    </row>
    <row r="108" spans="1:53" ht="14.25" customHeight="1" x14ac:dyDescent="0.3">
      <c r="A108" s="55" t="s">
        <v>193</v>
      </c>
      <c r="B108" s="64" t="s">
        <v>204</v>
      </c>
      <c r="C108" s="64">
        <v>5251</v>
      </c>
      <c r="D108" s="64">
        <v>46.4</v>
      </c>
      <c r="E108" s="64">
        <v>819</v>
      </c>
      <c r="F108" s="64">
        <v>1139</v>
      </c>
      <c r="G108" s="64">
        <v>284</v>
      </c>
      <c r="H108" s="64">
        <v>0</v>
      </c>
      <c r="I108" s="64">
        <v>247130000</v>
      </c>
      <c r="J108" s="64">
        <v>85368</v>
      </c>
      <c r="K108" s="64">
        <v>49207</v>
      </c>
      <c r="L108" s="64">
        <v>2301</v>
      </c>
      <c r="M108" s="64">
        <v>2.2599999999999998</v>
      </c>
      <c r="N108" s="64">
        <v>299</v>
      </c>
      <c r="O108" s="64">
        <v>13</v>
      </c>
      <c r="P108" s="64">
        <v>2718</v>
      </c>
      <c r="Q108" s="73">
        <v>7</v>
      </c>
      <c r="R108" s="73">
        <v>11</v>
      </c>
      <c r="S108" s="73">
        <v>9</v>
      </c>
      <c r="T108" s="73">
        <v>27</v>
      </c>
      <c r="U108" s="56">
        <v>2.1324999999999998</v>
      </c>
      <c r="V108" s="56">
        <v>-7.9299999999999995E-2</v>
      </c>
      <c r="W108" s="56">
        <v>0.30380000000000001</v>
      </c>
      <c r="X108" s="56">
        <v>2435.19</v>
      </c>
      <c r="Y108" s="56">
        <v>0.16700000000000001</v>
      </c>
      <c r="Z108" s="56">
        <v>9.2799999999999994E-2</v>
      </c>
      <c r="AA108" s="57">
        <v>0</v>
      </c>
      <c r="AB108" s="57">
        <v>0</v>
      </c>
      <c r="AC108" s="56">
        <v>0.79659999999999997</v>
      </c>
      <c r="AD108" s="56">
        <v>5049.3900000000003</v>
      </c>
      <c r="AE108" s="56">
        <v>0.8508</v>
      </c>
      <c r="AF108" s="56">
        <v>0.18229999999999999</v>
      </c>
      <c r="AG108" s="56">
        <v>0.44700000000000001</v>
      </c>
      <c r="AH108" s="56">
        <v>2.2370999999999999</v>
      </c>
      <c r="AI108" s="58">
        <v>3686815</v>
      </c>
      <c r="AJ108" s="58">
        <v>2854133</v>
      </c>
      <c r="AK108" s="58">
        <v>14223000</v>
      </c>
      <c r="AL108" s="58">
        <v>2500000</v>
      </c>
      <c r="AM108" s="57">
        <v>0</v>
      </c>
      <c r="AN108" s="58">
        <v>233785</v>
      </c>
      <c r="AO108" s="58">
        <v>16785853</v>
      </c>
      <c r="AP108" s="64" t="s">
        <v>209</v>
      </c>
      <c r="AQ108" s="64">
        <v>2021</v>
      </c>
      <c r="AR108" s="64">
        <v>0</v>
      </c>
      <c r="AS108" s="64">
        <v>0</v>
      </c>
      <c r="AT108" s="64">
        <v>0</v>
      </c>
      <c r="AU108" s="64">
        <v>0</v>
      </c>
      <c r="AV108">
        <v>1</v>
      </c>
      <c r="AW108">
        <v>0</v>
      </c>
      <c r="AX108" s="64">
        <v>0</v>
      </c>
      <c r="AY108" s="64"/>
      <c r="AZ108" s="64">
        <f t="shared" si="1"/>
        <v>1</v>
      </c>
      <c r="BA108" s="64" t="s">
        <v>205</v>
      </c>
    </row>
    <row r="109" spans="1:53" ht="14.25" customHeight="1" x14ac:dyDescent="0.3">
      <c r="A109" s="55" t="s">
        <v>194</v>
      </c>
      <c r="B109" s="64" t="s">
        <v>204</v>
      </c>
      <c r="C109" s="64">
        <v>45473</v>
      </c>
      <c r="D109" s="64">
        <v>26.5</v>
      </c>
      <c r="E109" s="64">
        <v>4548</v>
      </c>
      <c r="F109" s="64">
        <v>5607</v>
      </c>
      <c r="G109" s="64">
        <v>1779</v>
      </c>
      <c r="H109" s="64">
        <v>572</v>
      </c>
      <c r="I109" s="64">
        <v>1526104500</v>
      </c>
      <c r="J109" s="64">
        <v>66873</v>
      </c>
      <c r="K109" s="64">
        <v>33811</v>
      </c>
      <c r="L109" s="64">
        <v>18075</v>
      </c>
      <c r="M109" s="64">
        <v>2.29</v>
      </c>
      <c r="N109" s="64">
        <v>8668</v>
      </c>
      <c r="O109" s="64">
        <v>1621</v>
      </c>
      <c r="P109" s="64">
        <v>27015</v>
      </c>
      <c r="Q109" s="73">
        <v>4</v>
      </c>
      <c r="R109" s="73">
        <v>11</v>
      </c>
      <c r="S109" s="73">
        <v>11</v>
      </c>
      <c r="T109" s="73">
        <v>26</v>
      </c>
      <c r="U109" s="56">
        <v>9.6649999999999991</v>
      </c>
      <c r="V109" s="56">
        <v>0.68140000000000001</v>
      </c>
      <c r="W109" s="56">
        <v>0.13109999999999999</v>
      </c>
      <c r="X109" s="56">
        <v>1672.79</v>
      </c>
      <c r="Y109" s="56">
        <v>0.1096</v>
      </c>
      <c r="Z109" s="56">
        <v>0.11360000000000001</v>
      </c>
      <c r="AA109" s="56">
        <v>2.64E-2</v>
      </c>
      <c r="AB109" s="56">
        <v>3.1899999999999998E-2</v>
      </c>
      <c r="AC109" s="56">
        <v>0.69720000000000004</v>
      </c>
      <c r="AD109" s="56">
        <v>7632</v>
      </c>
      <c r="AE109" s="56">
        <v>0.73219999999999996</v>
      </c>
      <c r="AF109" s="56">
        <v>0.1086</v>
      </c>
      <c r="AG109" s="56">
        <v>0.214</v>
      </c>
      <c r="AH109" s="56">
        <v>4.6730999999999998</v>
      </c>
      <c r="AI109" s="58">
        <v>36131657</v>
      </c>
      <c r="AJ109" s="58">
        <v>40616855</v>
      </c>
      <c r="AK109" s="58">
        <v>62769000</v>
      </c>
      <c r="AL109" s="58">
        <v>16644248</v>
      </c>
      <c r="AM109" s="57">
        <v>0</v>
      </c>
      <c r="AN109" s="58">
        <v>80935679</v>
      </c>
      <c r="AO109" s="58">
        <v>80893854</v>
      </c>
      <c r="AP109" s="64" t="s">
        <v>208</v>
      </c>
      <c r="AQ109" s="64">
        <v>2025</v>
      </c>
      <c r="AR109" s="64">
        <v>0</v>
      </c>
      <c r="AS109" s="64">
        <v>0</v>
      </c>
      <c r="AT109" s="64">
        <v>0</v>
      </c>
      <c r="AU109" s="64">
        <v>0</v>
      </c>
      <c r="AV109">
        <v>1</v>
      </c>
      <c r="AW109">
        <v>1</v>
      </c>
      <c r="AX109" s="64">
        <v>0</v>
      </c>
      <c r="AY109" s="64"/>
      <c r="AZ109" s="64">
        <f t="shared" si="1"/>
        <v>2</v>
      </c>
      <c r="BA109" s="64" t="s">
        <v>205</v>
      </c>
    </row>
    <row r="110" spans="1:53" ht="14.25" customHeight="1" x14ac:dyDescent="0.3">
      <c r="A110" s="55" t="s">
        <v>195</v>
      </c>
      <c r="B110" s="64" t="s">
        <v>204</v>
      </c>
      <c r="C110" s="64">
        <v>40695</v>
      </c>
      <c r="D110" s="64">
        <v>39.5</v>
      </c>
      <c r="E110" s="64">
        <v>6210</v>
      </c>
      <c r="F110" s="64">
        <v>6836</v>
      </c>
      <c r="G110" s="64">
        <v>2087</v>
      </c>
      <c r="H110" s="64">
        <v>631</v>
      </c>
      <c r="I110" s="64">
        <v>1762098200</v>
      </c>
      <c r="J110" s="64">
        <v>91394</v>
      </c>
      <c r="K110" s="64">
        <v>43481</v>
      </c>
      <c r="L110" s="64">
        <v>15210</v>
      </c>
      <c r="M110" s="64">
        <v>2.61</v>
      </c>
      <c r="N110" s="64">
        <v>4500</v>
      </c>
      <c r="O110" s="64">
        <v>843</v>
      </c>
      <c r="P110" s="64">
        <v>21182</v>
      </c>
      <c r="Q110" s="73">
        <v>5</v>
      </c>
      <c r="R110" s="73">
        <v>12</v>
      </c>
      <c r="S110" s="73">
        <v>11</v>
      </c>
      <c r="T110" s="73">
        <v>28</v>
      </c>
      <c r="U110" s="56">
        <v>8.4271999999999991</v>
      </c>
      <c r="V110" s="56">
        <v>0.58479999999999999</v>
      </c>
      <c r="W110" s="56">
        <v>0.1618</v>
      </c>
      <c r="X110" s="56">
        <v>1188.8800000000001</v>
      </c>
      <c r="Y110" s="56">
        <v>2.3300000000000001E-2</v>
      </c>
      <c r="Z110" s="56">
        <v>0.17599999999999999</v>
      </c>
      <c r="AA110" s="56">
        <v>3.04E-2</v>
      </c>
      <c r="AB110" s="56">
        <v>4.1300000000000003E-2</v>
      </c>
      <c r="AC110" s="56">
        <v>0.71419999999999995</v>
      </c>
      <c r="AD110" s="56">
        <v>4583.99</v>
      </c>
      <c r="AE110" s="56">
        <v>0.73229999999999995</v>
      </c>
      <c r="AF110" s="56">
        <v>0.1221</v>
      </c>
      <c r="AG110" s="56">
        <v>0.249</v>
      </c>
      <c r="AH110" s="56">
        <v>4.016</v>
      </c>
      <c r="AI110" s="58">
        <v>32181349</v>
      </c>
      <c r="AJ110" s="58">
        <v>12665000</v>
      </c>
      <c r="AK110" s="58">
        <v>48665000</v>
      </c>
      <c r="AL110" s="58">
        <v>41097362</v>
      </c>
      <c r="AM110" s="57">
        <v>0</v>
      </c>
      <c r="AN110" s="58">
        <v>967000</v>
      </c>
      <c r="AO110" s="58">
        <v>90292893</v>
      </c>
      <c r="AP110" s="64" t="s">
        <v>209</v>
      </c>
      <c r="AQ110" s="64">
        <v>2021</v>
      </c>
      <c r="AR110" s="64">
        <v>0</v>
      </c>
      <c r="AS110" s="64">
        <v>0</v>
      </c>
      <c r="AT110" s="64">
        <v>0</v>
      </c>
      <c r="AU110" s="64">
        <v>0</v>
      </c>
      <c r="AV110">
        <v>0</v>
      </c>
      <c r="AW110">
        <v>0</v>
      </c>
      <c r="AX110" s="64">
        <v>0</v>
      </c>
      <c r="AY110" s="64"/>
      <c r="AZ110" s="64">
        <f t="shared" si="1"/>
        <v>0</v>
      </c>
      <c r="BA110" s="64" t="s">
        <v>205</v>
      </c>
    </row>
    <row r="111" spans="1:53" ht="14.25" customHeight="1" x14ac:dyDescent="0.3">
      <c r="A111" s="55" t="s">
        <v>196</v>
      </c>
      <c r="B111" s="64" t="s">
        <v>204</v>
      </c>
      <c r="C111" s="64">
        <v>427246</v>
      </c>
      <c r="D111" s="64">
        <v>33.4</v>
      </c>
      <c r="E111" s="64">
        <v>31587</v>
      </c>
      <c r="F111" s="64">
        <v>96603</v>
      </c>
      <c r="G111" s="64">
        <v>44563</v>
      </c>
      <c r="H111" s="64">
        <v>8356</v>
      </c>
      <c r="I111" s="64">
        <v>22227124300</v>
      </c>
      <c r="J111" s="64">
        <v>80846</v>
      </c>
      <c r="K111" s="64">
        <v>52692</v>
      </c>
      <c r="L111" s="64">
        <v>192734</v>
      </c>
      <c r="M111" s="64">
        <v>2.12</v>
      </c>
      <c r="N111" s="64">
        <v>65625</v>
      </c>
      <c r="O111" s="64">
        <v>15429</v>
      </c>
      <c r="P111" s="64">
        <v>259374</v>
      </c>
      <c r="Q111" s="73">
        <v>8</v>
      </c>
      <c r="R111" s="73">
        <v>12</v>
      </c>
      <c r="S111" s="73">
        <v>17</v>
      </c>
      <c r="T111" s="73">
        <v>37</v>
      </c>
      <c r="U111" s="56">
        <v>6.5669000000000004</v>
      </c>
      <c r="V111" s="56">
        <v>2.5499999999999998E-2</v>
      </c>
      <c r="W111" s="56">
        <v>0.18049999999999999</v>
      </c>
      <c r="X111" s="56">
        <v>2313.9</v>
      </c>
      <c r="Y111" s="56">
        <v>0.1002</v>
      </c>
      <c r="Z111" s="56">
        <v>0.216</v>
      </c>
      <c r="AA111" s="56">
        <v>4.0599999999999997E-2</v>
      </c>
      <c r="AB111" s="56">
        <v>6.1600000000000002E-2</v>
      </c>
      <c r="AC111" s="56">
        <v>0.71289999999999998</v>
      </c>
      <c r="AD111" s="56">
        <v>6014.8</v>
      </c>
      <c r="AE111" s="56">
        <v>0.88119999999999998</v>
      </c>
      <c r="AF111" s="56">
        <v>0.1072</v>
      </c>
      <c r="AG111" s="56">
        <v>0.35349999999999998</v>
      </c>
      <c r="AH111" s="56">
        <v>2.8288000000000002</v>
      </c>
      <c r="AI111" s="58">
        <v>87328</v>
      </c>
      <c r="AJ111" s="58">
        <v>340356</v>
      </c>
      <c r="AK111" s="58">
        <v>843819</v>
      </c>
      <c r="AL111" s="58">
        <v>5720</v>
      </c>
      <c r="AM111" s="57">
        <v>0</v>
      </c>
      <c r="AN111" s="58">
        <v>259130</v>
      </c>
      <c r="AO111" s="57" t="s">
        <v>210</v>
      </c>
      <c r="AP111" s="64" t="s">
        <v>209</v>
      </c>
      <c r="AQ111" s="64">
        <v>2023</v>
      </c>
      <c r="AR111" s="64">
        <v>0</v>
      </c>
      <c r="AS111" s="64">
        <v>0</v>
      </c>
      <c r="AT111" s="64">
        <v>1</v>
      </c>
      <c r="AU111" s="64">
        <v>0</v>
      </c>
      <c r="AV111">
        <v>1</v>
      </c>
      <c r="AW111">
        <v>0</v>
      </c>
      <c r="AX111" s="64">
        <v>0</v>
      </c>
      <c r="AY111" s="64"/>
      <c r="AZ111" s="64">
        <f t="shared" si="1"/>
        <v>2</v>
      </c>
      <c r="BA111" s="64" t="s">
        <v>205</v>
      </c>
    </row>
    <row r="112" spans="1:53" ht="14.25" customHeight="1" x14ac:dyDescent="0.3">
      <c r="A112" s="55" t="s">
        <v>197</v>
      </c>
      <c r="B112" s="64" t="s">
        <v>204</v>
      </c>
      <c r="C112" s="64">
        <v>53064</v>
      </c>
      <c r="D112" s="64">
        <v>42.9</v>
      </c>
      <c r="E112" s="64">
        <v>4140</v>
      </c>
      <c r="F112" s="64">
        <v>15684</v>
      </c>
      <c r="G112" s="64">
        <v>6958</v>
      </c>
      <c r="H112" s="64">
        <v>934</v>
      </c>
      <c r="I112" s="64">
        <v>3940810200</v>
      </c>
      <c r="J112" s="64">
        <v>119517</v>
      </c>
      <c r="K112" s="64">
        <v>75502</v>
      </c>
      <c r="L112" s="64">
        <v>23515</v>
      </c>
      <c r="M112" s="64">
        <v>2.2400000000000002</v>
      </c>
      <c r="N112" s="64">
        <v>3133</v>
      </c>
      <c r="O112" s="64">
        <v>884</v>
      </c>
      <c r="P112" s="64">
        <v>29548</v>
      </c>
      <c r="Q112" s="73">
        <v>6</v>
      </c>
      <c r="R112" s="73">
        <v>15</v>
      </c>
      <c r="S112" s="73">
        <v>16</v>
      </c>
      <c r="T112" s="73">
        <v>37</v>
      </c>
      <c r="U112" s="56">
        <v>18.4209</v>
      </c>
      <c r="V112" s="56">
        <v>1.1826000000000001</v>
      </c>
      <c r="W112" s="56">
        <v>0.1066</v>
      </c>
      <c r="X112" s="56">
        <v>978.58</v>
      </c>
      <c r="Y112" s="56">
        <v>1.5299999999999999E-2</v>
      </c>
      <c r="Z112" s="56">
        <v>0.20280000000000001</v>
      </c>
      <c r="AA112" s="56">
        <v>5.33E-2</v>
      </c>
      <c r="AB112" s="56">
        <v>5.4699999999999999E-2</v>
      </c>
      <c r="AC112" s="56">
        <v>0.64610000000000001</v>
      </c>
      <c r="AD112" s="56">
        <v>4592.18</v>
      </c>
      <c r="AE112" s="56">
        <v>0.66500000000000004</v>
      </c>
      <c r="AF112" s="56">
        <v>8.1100000000000005E-2</v>
      </c>
      <c r="AG112" s="56">
        <v>0.17749999999999999</v>
      </c>
      <c r="AH112" s="56">
        <v>5.6336000000000004</v>
      </c>
      <c r="AI112" s="58">
        <v>58906740</v>
      </c>
      <c r="AJ112" s="58">
        <v>10598844</v>
      </c>
      <c r="AK112" s="58">
        <v>26430442</v>
      </c>
      <c r="AL112" s="58">
        <v>31198346</v>
      </c>
      <c r="AM112" s="57">
        <v>0</v>
      </c>
      <c r="AN112" s="58">
        <v>8774224</v>
      </c>
      <c r="AO112" s="58">
        <v>57628788</v>
      </c>
      <c r="AP112" s="64" t="s">
        <v>208</v>
      </c>
      <c r="AQ112" s="64">
        <v>2024</v>
      </c>
      <c r="AR112" s="64">
        <v>0</v>
      </c>
      <c r="AS112" s="64">
        <v>0</v>
      </c>
      <c r="AT112" s="64">
        <v>0</v>
      </c>
      <c r="AU112" s="64">
        <v>0</v>
      </c>
      <c r="AV112">
        <v>0</v>
      </c>
      <c r="AW112">
        <v>1</v>
      </c>
      <c r="AX112" s="64">
        <v>0</v>
      </c>
      <c r="AY112" s="64"/>
      <c r="AZ112" s="64">
        <f t="shared" si="1"/>
        <v>1</v>
      </c>
      <c r="BA112" s="64" t="s">
        <v>205</v>
      </c>
    </row>
    <row r="113" spans="1:53" ht="14.25" customHeight="1" x14ac:dyDescent="0.3">
      <c r="A113" s="55" t="s">
        <v>198</v>
      </c>
      <c r="B113" s="64" t="s">
        <v>204</v>
      </c>
      <c r="C113" s="64">
        <v>22710</v>
      </c>
      <c r="D113" s="64">
        <v>37</v>
      </c>
      <c r="E113" s="64">
        <v>2247</v>
      </c>
      <c r="F113" s="64">
        <v>4960</v>
      </c>
      <c r="G113" s="64">
        <v>1771</v>
      </c>
      <c r="H113" s="64">
        <v>366</v>
      </c>
      <c r="I113" s="64">
        <v>1033429400</v>
      </c>
      <c r="J113" s="64">
        <v>88521</v>
      </c>
      <c r="K113" s="64">
        <v>46184</v>
      </c>
      <c r="L113" s="64">
        <v>9169</v>
      </c>
      <c r="M113" s="64">
        <v>2.44</v>
      </c>
      <c r="N113" s="64">
        <v>1857</v>
      </c>
      <c r="O113" s="64">
        <v>301</v>
      </c>
      <c r="P113" s="64">
        <v>12283</v>
      </c>
      <c r="Q113" s="73">
        <v>6</v>
      </c>
      <c r="R113" s="73">
        <v>16</v>
      </c>
      <c r="S113" s="73">
        <v>16</v>
      </c>
      <c r="T113" s="73">
        <v>38</v>
      </c>
      <c r="U113" s="56">
        <v>1.7867999999999999</v>
      </c>
      <c r="V113" s="56">
        <v>0.7913</v>
      </c>
      <c r="W113" s="56">
        <v>0.14940000000000001</v>
      </c>
      <c r="X113" s="56">
        <v>1600.47</v>
      </c>
      <c r="Y113" s="56">
        <v>0.1169</v>
      </c>
      <c r="Z113" s="56">
        <v>5.8700000000000002E-2</v>
      </c>
      <c r="AA113" s="56">
        <v>1.2500000000000001E-2</v>
      </c>
      <c r="AB113" s="56">
        <v>3.7999999999999999E-2</v>
      </c>
      <c r="AC113" s="56">
        <v>0.45329999999999998</v>
      </c>
      <c r="AD113" s="56">
        <v>4143.68</v>
      </c>
      <c r="AE113" s="56">
        <v>0.74119999999999997</v>
      </c>
      <c r="AF113" s="56">
        <v>5.79E-2</v>
      </c>
      <c r="AG113" s="56">
        <v>0.42159999999999997</v>
      </c>
      <c r="AH113" s="56">
        <v>2.3763000000000001</v>
      </c>
      <c r="AI113" s="58">
        <v>19118294</v>
      </c>
      <c r="AJ113" s="58">
        <v>4442619</v>
      </c>
      <c r="AK113" s="58">
        <v>1940000</v>
      </c>
      <c r="AL113" s="57">
        <v>0</v>
      </c>
      <c r="AM113" s="57">
        <v>0</v>
      </c>
      <c r="AN113" s="58">
        <v>5165139</v>
      </c>
      <c r="AO113" s="58">
        <v>30210000</v>
      </c>
      <c r="AP113" s="64" t="s">
        <v>208</v>
      </c>
      <c r="AQ113" s="64">
        <v>2023</v>
      </c>
      <c r="AR113" s="64">
        <v>0</v>
      </c>
      <c r="AS113" s="64">
        <v>0</v>
      </c>
      <c r="AT113" s="64">
        <v>0</v>
      </c>
      <c r="AU113" s="64">
        <v>0</v>
      </c>
      <c r="AV113">
        <v>1</v>
      </c>
      <c r="AW113">
        <v>1</v>
      </c>
      <c r="AX113" s="64">
        <v>0</v>
      </c>
      <c r="AY113" s="64"/>
      <c r="AZ113" s="64">
        <f t="shared" si="1"/>
        <v>2</v>
      </c>
      <c r="BA113" s="64" t="s">
        <v>206</v>
      </c>
    </row>
    <row r="114" spans="1:53" ht="14.25" customHeight="1" x14ac:dyDescent="0.3">
      <c r="A114" s="55" t="s">
        <v>199</v>
      </c>
      <c r="B114" s="64" t="s">
        <v>204</v>
      </c>
      <c r="C114" s="64">
        <v>16758</v>
      </c>
      <c r="D114" s="64">
        <v>42</v>
      </c>
      <c r="E114" s="64">
        <v>3455</v>
      </c>
      <c r="F114" s="64">
        <v>2078</v>
      </c>
      <c r="G114" s="64">
        <v>682</v>
      </c>
      <c r="H114" s="64">
        <v>62</v>
      </c>
      <c r="I114" s="64">
        <v>666557100</v>
      </c>
      <c r="J114" s="64">
        <v>67192</v>
      </c>
      <c r="K114" s="64">
        <v>40751</v>
      </c>
      <c r="L114" s="64">
        <v>7384</v>
      </c>
      <c r="M114" s="64">
        <v>2.19</v>
      </c>
      <c r="N114" s="64">
        <v>2250</v>
      </c>
      <c r="O114" s="64">
        <v>400</v>
      </c>
      <c r="P114" s="64">
        <v>8196</v>
      </c>
      <c r="Q114" s="73">
        <v>6</v>
      </c>
      <c r="R114" s="73">
        <v>11</v>
      </c>
      <c r="S114" s="73">
        <v>13</v>
      </c>
      <c r="T114" s="73">
        <v>30</v>
      </c>
      <c r="U114" s="56">
        <v>5.5319000000000003</v>
      </c>
      <c r="V114" s="56">
        <v>0.7601</v>
      </c>
      <c r="W114" s="56">
        <v>5.96E-2</v>
      </c>
      <c r="X114" s="56">
        <v>1085.75</v>
      </c>
      <c r="Y114" s="56">
        <v>0.1032</v>
      </c>
      <c r="Z114" s="56">
        <v>0.2324</v>
      </c>
      <c r="AA114" s="56">
        <v>3.9899999999999998E-2</v>
      </c>
      <c r="AB114" s="56">
        <v>3.2399999999999998E-2</v>
      </c>
      <c r="AC114" s="56">
        <v>0.68259999999999998</v>
      </c>
      <c r="AD114" s="56">
        <v>9261.5</v>
      </c>
      <c r="AE114" s="56">
        <v>0.72189999999999999</v>
      </c>
      <c r="AF114" s="56">
        <v>0.1215</v>
      </c>
      <c r="AG114" s="56">
        <v>0.1401</v>
      </c>
      <c r="AH114" s="56">
        <v>7.1393000000000004</v>
      </c>
      <c r="AI114" s="58">
        <v>25954901</v>
      </c>
      <c r="AJ114" s="58">
        <v>30670310</v>
      </c>
      <c r="AK114" s="58">
        <v>13165000</v>
      </c>
      <c r="AL114" s="58">
        <v>6385000</v>
      </c>
      <c r="AM114" s="57">
        <v>0</v>
      </c>
      <c r="AN114" s="58">
        <v>8034047</v>
      </c>
      <c r="AO114" s="58">
        <v>20210730</v>
      </c>
      <c r="AP114" s="64" t="s">
        <v>208</v>
      </c>
      <c r="AQ114" s="64">
        <v>2020</v>
      </c>
      <c r="AR114" s="64">
        <v>0</v>
      </c>
      <c r="AS114" s="64">
        <v>0</v>
      </c>
      <c r="AT114" s="64">
        <v>0</v>
      </c>
      <c r="AU114" s="64">
        <v>0</v>
      </c>
      <c r="AV114">
        <v>0</v>
      </c>
      <c r="AW114">
        <v>0</v>
      </c>
      <c r="AX114" s="64">
        <v>0</v>
      </c>
      <c r="AY114" s="64"/>
      <c r="AZ114" s="64">
        <f t="shared" si="1"/>
        <v>0</v>
      </c>
      <c r="BA114" s="64" t="s">
        <v>206</v>
      </c>
    </row>
    <row r="115" spans="1:53" ht="14.25" customHeight="1" x14ac:dyDescent="0.3">
      <c r="A115" s="55" t="s">
        <v>200</v>
      </c>
      <c r="B115" s="64" t="s">
        <v>204</v>
      </c>
      <c r="C115" s="64">
        <v>36642</v>
      </c>
      <c r="D115" s="64">
        <v>39.4</v>
      </c>
      <c r="E115" s="64">
        <v>4761</v>
      </c>
      <c r="F115" s="64">
        <v>8500</v>
      </c>
      <c r="G115" s="64">
        <v>2345</v>
      </c>
      <c r="H115" s="64">
        <v>439</v>
      </c>
      <c r="I115" s="64">
        <v>1776240100</v>
      </c>
      <c r="J115" s="64">
        <v>85132</v>
      </c>
      <c r="K115" s="64">
        <v>47856</v>
      </c>
      <c r="L115" s="64">
        <v>16547</v>
      </c>
      <c r="M115" s="64">
        <v>2.19</v>
      </c>
      <c r="N115" s="64">
        <v>2983</v>
      </c>
      <c r="O115" s="64">
        <v>1150</v>
      </c>
      <c r="P115" s="64">
        <v>21571</v>
      </c>
      <c r="Q115" s="73">
        <v>4</v>
      </c>
      <c r="R115" s="73">
        <v>8</v>
      </c>
      <c r="S115" s="73">
        <v>8</v>
      </c>
      <c r="T115" s="73">
        <v>20</v>
      </c>
      <c r="U115" s="56">
        <v>13.680899999999999</v>
      </c>
      <c r="V115" s="56">
        <v>0.18959999999999999</v>
      </c>
      <c r="W115" s="56">
        <v>0.36230000000000001</v>
      </c>
      <c r="X115" s="56">
        <v>21118.080000000002</v>
      </c>
      <c r="Y115" s="56">
        <v>2.3300000000000001E-2</v>
      </c>
      <c r="Z115" s="56">
        <v>0.1366</v>
      </c>
      <c r="AA115" s="56">
        <v>1.8200000000000001E-2</v>
      </c>
      <c r="AB115" s="56">
        <v>2.5600000000000001E-2</v>
      </c>
      <c r="AC115" s="56">
        <v>0.63590000000000002</v>
      </c>
      <c r="AD115" s="56">
        <v>32604.959999999999</v>
      </c>
      <c r="AE115" s="56">
        <v>0.80640000000000001</v>
      </c>
      <c r="AF115" s="56">
        <v>7.9799999999999996E-2</v>
      </c>
      <c r="AG115" s="56">
        <v>0.43530000000000002</v>
      </c>
      <c r="AH115" s="56">
        <v>2.2972999999999999</v>
      </c>
      <c r="AI115" s="58">
        <v>27404757</v>
      </c>
      <c r="AJ115" s="58">
        <v>7077448</v>
      </c>
      <c r="AK115" s="58">
        <v>42555000</v>
      </c>
      <c r="AL115" s="58">
        <v>10000000</v>
      </c>
      <c r="AM115" s="57">
        <v>0</v>
      </c>
      <c r="AN115" s="58">
        <v>1049332</v>
      </c>
      <c r="AO115" s="58">
        <v>68456448</v>
      </c>
      <c r="AP115" s="64" t="s">
        <v>209</v>
      </c>
      <c r="AQ115" s="64">
        <v>2020</v>
      </c>
      <c r="AR115" s="64">
        <v>0</v>
      </c>
      <c r="AS115" s="64">
        <v>0</v>
      </c>
      <c r="AT115" s="64">
        <v>0</v>
      </c>
      <c r="AU115" s="64">
        <v>0</v>
      </c>
      <c r="AV115">
        <v>0</v>
      </c>
      <c r="AW115">
        <v>0</v>
      </c>
      <c r="AX115" s="64">
        <v>0</v>
      </c>
      <c r="AY115" s="64"/>
      <c r="AZ115" s="64">
        <f t="shared" si="1"/>
        <v>0</v>
      </c>
      <c r="BA115" s="64" t="s">
        <v>205</v>
      </c>
    </row>
    <row r="116" spans="1:53" ht="14.25" customHeight="1" x14ac:dyDescent="0.3">
      <c r="A116" s="55" t="s">
        <v>201</v>
      </c>
      <c r="B116" s="64" t="s">
        <v>204</v>
      </c>
      <c r="C116" s="64">
        <v>122330</v>
      </c>
      <c r="D116" s="64">
        <v>36.299999999999997</v>
      </c>
      <c r="E116" s="64">
        <v>12945</v>
      </c>
      <c r="F116" s="64">
        <v>23773</v>
      </c>
      <c r="G116" s="64">
        <v>10766</v>
      </c>
      <c r="H116" s="64">
        <v>3499</v>
      </c>
      <c r="I116" s="64">
        <v>6377910500</v>
      </c>
      <c r="J116" s="64">
        <v>89389</v>
      </c>
      <c r="K116" s="64">
        <v>52671</v>
      </c>
      <c r="L116" s="64">
        <v>51131</v>
      </c>
      <c r="M116" s="64">
        <v>2.34</v>
      </c>
      <c r="N116" s="64">
        <v>10216</v>
      </c>
      <c r="O116" s="64">
        <v>2541</v>
      </c>
      <c r="P116" s="64">
        <v>68144</v>
      </c>
      <c r="Q116" s="73">
        <v>8</v>
      </c>
      <c r="R116" s="73">
        <v>12</v>
      </c>
      <c r="S116" s="73">
        <v>14</v>
      </c>
      <c r="T116" s="73">
        <v>34</v>
      </c>
      <c r="U116" s="56">
        <v>17.198</v>
      </c>
      <c r="V116" s="56">
        <v>0.85589999999999999</v>
      </c>
      <c r="W116" s="56">
        <v>0.12280000000000001</v>
      </c>
      <c r="X116" s="56">
        <v>2338.09</v>
      </c>
      <c r="Y116" s="56">
        <v>2.1600000000000001E-2</v>
      </c>
      <c r="Z116" s="56">
        <v>0.16569999999999999</v>
      </c>
      <c r="AA116" s="56">
        <v>1.41E-2</v>
      </c>
      <c r="AB116" s="56">
        <v>1.61E-2</v>
      </c>
      <c r="AC116" s="56">
        <v>0.6835</v>
      </c>
      <c r="AD116" s="56">
        <v>10908.1</v>
      </c>
      <c r="AE116" s="56">
        <v>0.71450000000000002</v>
      </c>
      <c r="AF116" s="56">
        <v>9.64E-2</v>
      </c>
      <c r="AG116" s="56">
        <v>0.1988</v>
      </c>
      <c r="AH116" s="56">
        <v>5.0305999999999997</v>
      </c>
      <c r="AI116" s="58">
        <v>139668294</v>
      </c>
      <c r="AJ116" s="58">
        <v>110486247</v>
      </c>
      <c r="AK116" s="58">
        <v>113365000</v>
      </c>
      <c r="AL116" s="58">
        <v>172783000</v>
      </c>
      <c r="AM116" s="57">
        <v>0</v>
      </c>
      <c r="AN116" s="58">
        <v>41676103</v>
      </c>
      <c r="AO116" s="58">
        <v>287320802</v>
      </c>
      <c r="AP116" s="64" t="s">
        <v>209</v>
      </c>
      <c r="AQ116" s="64">
        <v>2024</v>
      </c>
      <c r="AR116" s="64">
        <v>0</v>
      </c>
      <c r="AS116" s="64">
        <v>0</v>
      </c>
      <c r="AT116" s="64">
        <v>0</v>
      </c>
      <c r="AU116" s="64">
        <v>0</v>
      </c>
      <c r="AV116">
        <v>0</v>
      </c>
      <c r="AW116">
        <v>0</v>
      </c>
      <c r="AX116" s="64">
        <v>0</v>
      </c>
      <c r="AY116" s="64"/>
      <c r="AZ116" s="64">
        <f t="shared" si="1"/>
        <v>0</v>
      </c>
      <c r="BA116" s="64" t="s">
        <v>205</v>
      </c>
    </row>
    <row r="117" spans="1:53" ht="14.25" customHeight="1" x14ac:dyDescent="0.3">
      <c r="A117" s="55" t="s">
        <v>202</v>
      </c>
      <c r="B117" s="64" t="s">
        <v>204</v>
      </c>
      <c r="C117" s="64">
        <v>35802</v>
      </c>
      <c r="D117" s="64">
        <v>41.1</v>
      </c>
      <c r="E117" s="64">
        <v>4267</v>
      </c>
      <c r="F117" s="64">
        <v>8263</v>
      </c>
      <c r="G117" s="64">
        <v>3330</v>
      </c>
      <c r="H117" s="64">
        <v>997</v>
      </c>
      <c r="I117" s="64">
        <v>1977567000</v>
      </c>
      <c r="J117" s="64">
        <v>86930</v>
      </c>
      <c r="K117" s="64">
        <v>55478</v>
      </c>
      <c r="L117" s="64">
        <v>15570</v>
      </c>
      <c r="M117" s="64">
        <v>2.2000000000000002</v>
      </c>
      <c r="N117" s="64">
        <v>2594</v>
      </c>
      <c r="O117" s="64">
        <v>1102</v>
      </c>
      <c r="P117" s="64">
        <v>18594</v>
      </c>
      <c r="Q117" s="73">
        <v>7</v>
      </c>
      <c r="R117" s="73">
        <v>13</v>
      </c>
      <c r="S117" s="73">
        <v>15</v>
      </c>
      <c r="T117" s="73">
        <v>35</v>
      </c>
      <c r="U117" s="56">
        <v>16.172999999999998</v>
      </c>
      <c r="V117" s="56">
        <v>0.41570000000000001</v>
      </c>
      <c r="W117" s="56">
        <v>9.3700000000000006E-2</v>
      </c>
      <c r="X117" s="56">
        <v>725.4</v>
      </c>
      <c r="Y117" s="56">
        <v>4.5999999999999999E-3</v>
      </c>
      <c r="Z117" s="56">
        <v>0.32879999999999998</v>
      </c>
      <c r="AA117" s="56">
        <v>1.7000000000000001E-2</v>
      </c>
      <c r="AB117" s="56">
        <v>1.04E-2</v>
      </c>
      <c r="AC117" s="56">
        <v>0.68440000000000001</v>
      </c>
      <c r="AD117" s="56">
        <v>4108.2</v>
      </c>
      <c r="AE117" s="56">
        <v>0.77629999999999999</v>
      </c>
      <c r="AF117" s="56">
        <v>0.1057</v>
      </c>
      <c r="AG117" s="56">
        <v>0.1431</v>
      </c>
      <c r="AH117" s="56">
        <v>6.9880000000000004</v>
      </c>
      <c r="AI117" s="58">
        <v>31873145</v>
      </c>
      <c r="AJ117" s="58">
        <v>7029504</v>
      </c>
      <c r="AK117" s="58">
        <v>9875000</v>
      </c>
      <c r="AL117" s="58">
        <v>1805000</v>
      </c>
      <c r="AM117" s="57">
        <v>0</v>
      </c>
      <c r="AN117" s="58">
        <v>482078</v>
      </c>
      <c r="AO117" s="58">
        <v>11680000</v>
      </c>
      <c r="AP117" s="64" t="s">
        <v>209</v>
      </c>
      <c r="AQ117" s="64">
        <v>2021</v>
      </c>
      <c r="AR117" s="64">
        <v>0</v>
      </c>
      <c r="AS117" s="64">
        <v>0</v>
      </c>
      <c r="AT117" s="64">
        <v>0</v>
      </c>
      <c r="AU117" s="64">
        <v>0</v>
      </c>
      <c r="AV117">
        <v>0</v>
      </c>
      <c r="AW117">
        <v>0</v>
      </c>
      <c r="AX117" s="64">
        <v>0</v>
      </c>
      <c r="AY117" s="64"/>
      <c r="AZ117" s="64">
        <f t="shared" si="1"/>
        <v>0</v>
      </c>
      <c r="BA117" s="64" t="s">
        <v>205</v>
      </c>
    </row>
    <row r="118" spans="1:53" ht="14.25" customHeight="1" x14ac:dyDescent="0.3">
      <c r="A118" s="55" t="s">
        <v>203</v>
      </c>
      <c r="B118" s="64" t="s">
        <v>204</v>
      </c>
      <c r="C118" s="64">
        <v>4354</v>
      </c>
      <c r="D118" s="64">
        <v>55.7</v>
      </c>
      <c r="E118" s="64">
        <v>327</v>
      </c>
      <c r="F118" s="64">
        <v>1542</v>
      </c>
      <c r="G118" s="64">
        <v>469</v>
      </c>
      <c r="H118" s="64">
        <v>56</v>
      </c>
      <c r="I118" s="64">
        <v>506403800</v>
      </c>
      <c r="J118" s="64">
        <v>131614</v>
      </c>
      <c r="K118" s="64">
        <v>116577</v>
      </c>
      <c r="L118" s="64">
        <v>2064</v>
      </c>
      <c r="M118" s="64">
        <v>2.1</v>
      </c>
      <c r="N118" s="64">
        <v>254</v>
      </c>
      <c r="O118" s="64">
        <v>33</v>
      </c>
      <c r="P118" s="64">
        <v>1942</v>
      </c>
      <c r="Q118" s="73">
        <v>7</v>
      </c>
      <c r="R118" s="73">
        <v>9</v>
      </c>
      <c r="S118" s="73">
        <v>10</v>
      </c>
      <c r="T118" s="73">
        <v>26</v>
      </c>
      <c r="U118" s="56">
        <v>2.3719000000000001</v>
      </c>
      <c r="V118" s="56">
        <v>0.57830000000000004</v>
      </c>
      <c r="W118" s="56">
        <v>0.19339999999999999</v>
      </c>
      <c r="X118" s="56">
        <v>4878.68</v>
      </c>
      <c r="Y118" s="56">
        <v>2.92E-2</v>
      </c>
      <c r="Z118" s="56">
        <v>0.1172</v>
      </c>
      <c r="AA118" s="56">
        <v>2.0199999999999999E-2</v>
      </c>
      <c r="AB118" s="56">
        <v>2.8799999999999999E-2</v>
      </c>
      <c r="AC118" s="56">
        <v>0.71650000000000003</v>
      </c>
      <c r="AD118" s="56">
        <v>13248.71</v>
      </c>
      <c r="AE118" s="56">
        <v>0.77390000000000003</v>
      </c>
      <c r="AF118" s="56">
        <v>5.4899999999999997E-2</v>
      </c>
      <c r="AG118" s="56">
        <v>0.28089999999999998</v>
      </c>
      <c r="AH118" s="56">
        <v>3.56</v>
      </c>
      <c r="AI118" s="58">
        <v>6349850</v>
      </c>
      <c r="AJ118" s="58">
        <v>4118587</v>
      </c>
      <c r="AK118" s="58">
        <v>22265000</v>
      </c>
      <c r="AL118" s="58">
        <v>3480000</v>
      </c>
      <c r="AM118" s="57">
        <v>0</v>
      </c>
      <c r="AN118" s="58">
        <v>648567</v>
      </c>
      <c r="AO118" s="58">
        <v>22265000</v>
      </c>
      <c r="AP118" s="64" t="s">
        <v>209</v>
      </c>
      <c r="AQ118" s="64">
        <v>2020</v>
      </c>
      <c r="AR118" s="64">
        <v>0</v>
      </c>
      <c r="AS118" s="64">
        <v>0</v>
      </c>
      <c r="AT118" s="64">
        <v>0</v>
      </c>
      <c r="AU118" s="64">
        <v>0</v>
      </c>
      <c r="AV118">
        <v>0</v>
      </c>
      <c r="AW118">
        <v>0</v>
      </c>
      <c r="AX118" s="64">
        <v>0</v>
      </c>
      <c r="AY118" s="64"/>
      <c r="AZ118" s="64">
        <f t="shared" si="1"/>
        <v>0</v>
      </c>
      <c r="BA118" s="64" t="s">
        <v>206</v>
      </c>
    </row>
    <row r="119" spans="1:53" ht="14.25" customHeight="1" x14ac:dyDescent="0.3">
      <c r="AI119" s="52"/>
      <c r="AJ119" s="48"/>
      <c r="AK119" s="52"/>
      <c r="AL119" s="52"/>
      <c r="AM119" s="52"/>
      <c r="AN119" s="52"/>
      <c r="AO119" s="52"/>
    </row>
    <row r="120" spans="1:53" ht="14.25" customHeight="1" x14ac:dyDescent="0.3">
      <c r="AI120" s="52"/>
      <c r="AJ120" s="48"/>
      <c r="AK120" s="52"/>
      <c r="AL120" s="52"/>
      <c r="AM120" s="52"/>
      <c r="AN120" s="52"/>
      <c r="AO120" s="52"/>
    </row>
    <row r="121" spans="1:53" ht="14.25" customHeight="1" x14ac:dyDescent="0.3">
      <c r="AI121" s="52"/>
      <c r="AJ121" s="48"/>
      <c r="AK121" s="52"/>
      <c r="AL121" s="52"/>
      <c r="AM121" s="52"/>
      <c r="AN121" s="52"/>
      <c r="AO121" s="52"/>
    </row>
    <row r="122" spans="1:53" ht="14.25" customHeight="1" x14ac:dyDescent="0.3">
      <c r="AI122" s="52"/>
      <c r="AJ122" s="48"/>
      <c r="AK122" s="52"/>
      <c r="AL122" s="52"/>
      <c r="AM122" s="52"/>
      <c r="AN122" s="52"/>
      <c r="AO122" s="52"/>
    </row>
    <row r="123" spans="1:53" ht="14.25" customHeight="1" x14ac:dyDescent="0.3">
      <c r="AI123" s="52"/>
      <c r="AJ123" s="48"/>
      <c r="AK123" s="52"/>
      <c r="AL123" s="52"/>
      <c r="AM123" s="52"/>
      <c r="AN123" s="52"/>
      <c r="AO123" s="52"/>
    </row>
    <row r="124" spans="1:53" ht="14.25" customHeight="1" x14ac:dyDescent="0.3">
      <c r="AI124" s="52"/>
      <c r="AJ124" s="48"/>
      <c r="AK124" s="52"/>
      <c r="AL124" s="52"/>
      <c r="AM124" s="52"/>
      <c r="AN124" s="52"/>
      <c r="AO124" s="52"/>
    </row>
    <row r="125" spans="1:53" ht="14.25" customHeight="1" x14ac:dyDescent="0.3">
      <c r="AI125" s="52"/>
      <c r="AJ125" s="48"/>
      <c r="AK125" s="52"/>
      <c r="AL125" s="52"/>
      <c r="AM125" s="52"/>
      <c r="AN125" s="52"/>
      <c r="AO125" s="52"/>
    </row>
    <row r="126" spans="1:53" ht="14.25" customHeight="1" x14ac:dyDescent="0.3">
      <c r="AI126" s="52"/>
      <c r="AJ126" s="48"/>
      <c r="AK126" s="52"/>
      <c r="AL126" s="52"/>
      <c r="AM126" s="52"/>
      <c r="AN126" s="52"/>
      <c r="AO126" s="52"/>
    </row>
    <row r="127" spans="1:53" ht="14.25" customHeight="1" x14ac:dyDescent="0.3">
      <c r="AI127" s="52"/>
      <c r="AJ127" s="48"/>
      <c r="AK127" s="52"/>
      <c r="AL127" s="52"/>
      <c r="AM127" s="52"/>
      <c r="AN127" s="52"/>
      <c r="AO127" s="52"/>
    </row>
    <row r="128" spans="1:53" ht="14.25" customHeight="1" x14ac:dyDescent="0.3">
      <c r="AI128" s="52"/>
      <c r="AJ128" s="48"/>
      <c r="AK128" s="52"/>
      <c r="AL128" s="52"/>
      <c r="AM128" s="52"/>
      <c r="AN128" s="52"/>
      <c r="AO128" s="52"/>
    </row>
    <row r="129" spans="35:41" ht="14.25" customHeight="1" x14ac:dyDescent="0.3">
      <c r="AI129" s="52"/>
      <c r="AJ129" s="48"/>
      <c r="AK129" s="52"/>
      <c r="AL129" s="52"/>
      <c r="AM129" s="52"/>
      <c r="AN129" s="52"/>
      <c r="AO129" s="52"/>
    </row>
    <row r="130" spans="35:41" ht="14.25" customHeight="1" x14ac:dyDescent="0.3">
      <c r="AI130" s="52"/>
      <c r="AJ130" s="48"/>
      <c r="AK130" s="52"/>
      <c r="AL130" s="52"/>
      <c r="AM130" s="52"/>
      <c r="AN130" s="52"/>
      <c r="AO130" s="52"/>
    </row>
    <row r="131" spans="35:41" ht="14.25" customHeight="1" x14ac:dyDescent="0.3">
      <c r="AI131" s="52"/>
      <c r="AJ131" s="48"/>
      <c r="AK131" s="52"/>
      <c r="AL131" s="52"/>
      <c r="AM131" s="52"/>
      <c r="AN131" s="52"/>
      <c r="AO131" s="52"/>
    </row>
    <row r="132" spans="35:41" ht="14.25" customHeight="1" x14ac:dyDescent="0.3">
      <c r="AI132" s="44"/>
      <c r="AJ132" s="49"/>
      <c r="AK132" s="44"/>
      <c r="AL132" s="44"/>
      <c r="AM132" s="44"/>
      <c r="AN132" s="44"/>
      <c r="AO132" s="44"/>
    </row>
    <row r="133" spans="35:41" ht="14.25" customHeight="1" x14ac:dyDescent="0.3">
      <c r="AI133" s="44"/>
      <c r="AJ133" s="49"/>
      <c r="AK133" s="44"/>
      <c r="AL133" s="44"/>
      <c r="AM133" s="44"/>
      <c r="AN133" s="44"/>
      <c r="AO133" s="44"/>
    </row>
    <row r="134" spans="35:41" ht="14.25" customHeight="1" x14ac:dyDescent="0.3">
      <c r="AI134" s="44"/>
      <c r="AJ134" s="49"/>
      <c r="AK134" s="44"/>
      <c r="AL134" s="44"/>
      <c r="AM134" s="44"/>
      <c r="AN134" s="44"/>
      <c r="AO134" s="44"/>
    </row>
    <row r="135" spans="35:41" ht="14.25" customHeight="1" x14ac:dyDescent="0.3">
      <c r="AI135" s="44"/>
      <c r="AJ135" s="49"/>
      <c r="AK135" s="44"/>
      <c r="AL135" s="44"/>
      <c r="AM135" s="44"/>
      <c r="AN135" s="44"/>
      <c r="AO135" s="44"/>
    </row>
    <row r="136" spans="35:41" ht="14.25" customHeight="1" x14ac:dyDescent="0.3">
      <c r="AI136" s="44"/>
      <c r="AJ136" s="49"/>
      <c r="AK136" s="44"/>
      <c r="AL136" s="44"/>
      <c r="AM136" s="44"/>
      <c r="AN136" s="44"/>
      <c r="AO136" s="44"/>
    </row>
    <row r="137" spans="35:41" ht="14.25" customHeight="1" x14ac:dyDescent="0.3">
      <c r="AI137" s="44"/>
      <c r="AJ137" s="49"/>
      <c r="AK137" s="44"/>
      <c r="AL137" s="44"/>
      <c r="AM137" s="44"/>
      <c r="AN137" s="44"/>
      <c r="AO137" s="44"/>
    </row>
    <row r="138" spans="35:41" ht="14.25" customHeight="1" x14ac:dyDescent="0.3">
      <c r="AI138" s="44"/>
      <c r="AJ138" s="49"/>
      <c r="AK138" s="44"/>
      <c r="AL138" s="44"/>
      <c r="AM138" s="44"/>
      <c r="AN138" s="44"/>
      <c r="AO138" s="44"/>
    </row>
    <row r="139" spans="35:41" ht="14.25" customHeight="1" x14ac:dyDescent="0.3">
      <c r="AI139" s="44"/>
      <c r="AJ139" s="49"/>
      <c r="AK139" s="44"/>
      <c r="AL139" s="44"/>
      <c r="AM139" s="44"/>
      <c r="AN139" s="44"/>
      <c r="AO139" s="44"/>
    </row>
    <row r="140" spans="35:41" ht="14.25" customHeight="1" x14ac:dyDescent="0.3">
      <c r="AI140" s="44"/>
      <c r="AJ140" s="49"/>
      <c r="AK140" s="44"/>
      <c r="AL140" s="44"/>
      <c r="AM140" s="44"/>
      <c r="AN140" s="44"/>
      <c r="AO140" s="44"/>
    </row>
    <row r="141" spans="35:41" ht="14.25" customHeight="1" x14ac:dyDescent="0.3">
      <c r="AI141" s="44"/>
      <c r="AJ141" s="49"/>
      <c r="AK141" s="44"/>
      <c r="AL141" s="44"/>
      <c r="AM141" s="44"/>
      <c r="AN141" s="44"/>
      <c r="AO141" s="44"/>
    </row>
    <row r="142" spans="35:41" ht="14.25" customHeight="1" x14ac:dyDescent="0.3">
      <c r="AI142" s="44"/>
      <c r="AJ142" s="49"/>
      <c r="AK142" s="44"/>
      <c r="AL142" s="44"/>
      <c r="AM142" s="44"/>
      <c r="AN142" s="44"/>
      <c r="AO142" s="44"/>
    </row>
    <row r="143" spans="35:41" ht="14.25" customHeight="1" x14ac:dyDescent="0.3">
      <c r="AI143" s="44"/>
      <c r="AJ143" s="49"/>
      <c r="AK143" s="44"/>
      <c r="AL143" s="44"/>
      <c r="AM143" s="44"/>
      <c r="AN143" s="44"/>
      <c r="AO143" s="44"/>
    </row>
    <row r="144" spans="35:41" ht="14.25" customHeight="1" x14ac:dyDescent="0.3">
      <c r="AI144" s="44"/>
      <c r="AJ144" s="49"/>
      <c r="AK144" s="44"/>
      <c r="AL144" s="44"/>
      <c r="AM144" s="44"/>
      <c r="AN144" s="44"/>
      <c r="AO144" s="44"/>
    </row>
    <row r="145" spans="35:41" ht="14.25" customHeight="1" x14ac:dyDescent="0.3">
      <c r="AI145" s="44"/>
      <c r="AJ145" s="49"/>
      <c r="AK145" s="44"/>
      <c r="AL145" s="44"/>
      <c r="AM145" s="44"/>
      <c r="AN145" s="44"/>
      <c r="AO145" s="44"/>
    </row>
    <row r="146" spans="35:41" ht="14.25" customHeight="1" x14ac:dyDescent="0.3">
      <c r="AI146" s="44"/>
      <c r="AJ146" s="49"/>
      <c r="AK146" s="44"/>
      <c r="AL146" s="44"/>
      <c r="AM146" s="44"/>
      <c r="AN146" s="44"/>
      <c r="AO146" s="44"/>
    </row>
    <row r="147" spans="35:41" ht="14.25" customHeight="1" x14ac:dyDescent="0.3">
      <c r="AI147" s="44"/>
      <c r="AJ147" s="49"/>
      <c r="AK147" s="44"/>
      <c r="AL147" s="44"/>
      <c r="AM147" s="44"/>
      <c r="AN147" s="44"/>
      <c r="AO147" s="44"/>
    </row>
    <row r="148" spans="35:41" ht="14.25" customHeight="1" x14ac:dyDescent="0.3">
      <c r="AI148" s="44"/>
      <c r="AJ148" s="49"/>
      <c r="AK148" s="44"/>
      <c r="AL148" s="44"/>
      <c r="AM148" s="44"/>
      <c r="AN148" s="44"/>
      <c r="AO148" s="44"/>
    </row>
    <row r="149" spans="35:41" ht="14.25" customHeight="1" x14ac:dyDescent="0.3">
      <c r="AI149" s="44"/>
      <c r="AJ149" s="49"/>
      <c r="AK149" s="44"/>
      <c r="AL149" s="44"/>
      <c r="AM149" s="44"/>
      <c r="AN149" s="44"/>
      <c r="AO149" s="44"/>
    </row>
    <row r="150" spans="35:41" ht="14.25" customHeight="1" x14ac:dyDescent="0.3">
      <c r="AI150" s="44"/>
      <c r="AJ150" s="49"/>
      <c r="AK150" s="44"/>
      <c r="AL150" s="44"/>
      <c r="AM150" s="44"/>
      <c r="AN150" s="44"/>
      <c r="AO150" s="44"/>
    </row>
    <row r="151" spans="35:41" ht="14.25" customHeight="1" x14ac:dyDescent="0.3">
      <c r="AI151" s="44"/>
      <c r="AJ151" s="49"/>
      <c r="AK151" s="44"/>
      <c r="AL151" s="44"/>
      <c r="AM151" s="44"/>
      <c r="AN151" s="44"/>
      <c r="AO151" s="44"/>
    </row>
    <row r="152" spans="35:41" ht="14.25" customHeight="1" x14ac:dyDescent="0.3">
      <c r="AI152" s="44"/>
      <c r="AJ152" s="49"/>
      <c r="AK152" s="44"/>
      <c r="AL152" s="44"/>
      <c r="AM152" s="44"/>
      <c r="AN152" s="44"/>
      <c r="AO152" s="44"/>
    </row>
    <row r="153" spans="35:41" ht="14.25" customHeight="1" x14ac:dyDescent="0.3">
      <c r="AI153" s="44"/>
      <c r="AJ153" s="49"/>
      <c r="AK153" s="44"/>
      <c r="AL153" s="44"/>
      <c r="AM153" s="44"/>
      <c r="AN153" s="44"/>
      <c r="AO153" s="44"/>
    </row>
    <row r="154" spans="35:41" ht="14.25" customHeight="1" x14ac:dyDescent="0.3">
      <c r="AI154" s="44"/>
      <c r="AJ154" s="49"/>
      <c r="AK154" s="44"/>
      <c r="AL154" s="44"/>
      <c r="AM154" s="44"/>
      <c r="AN154" s="44"/>
      <c r="AO154" s="44"/>
    </row>
    <row r="155" spans="35:41" ht="14.25" customHeight="1" x14ac:dyDescent="0.3">
      <c r="AI155" s="44"/>
      <c r="AJ155" s="49"/>
      <c r="AK155" s="44"/>
      <c r="AL155" s="44"/>
      <c r="AM155" s="44"/>
      <c r="AN155" s="44"/>
      <c r="AO155" s="44"/>
    </row>
    <row r="156" spans="35:41" ht="14.25" customHeight="1" x14ac:dyDescent="0.3">
      <c r="AI156" s="44"/>
      <c r="AJ156" s="49"/>
      <c r="AK156" s="44"/>
      <c r="AL156" s="44"/>
      <c r="AM156" s="44"/>
      <c r="AN156" s="44"/>
      <c r="AO156" s="44"/>
    </row>
    <row r="157" spans="35:41" ht="14.25" customHeight="1" x14ac:dyDescent="0.3">
      <c r="AI157" s="44"/>
      <c r="AJ157" s="49"/>
      <c r="AK157" s="44"/>
      <c r="AL157" s="44"/>
      <c r="AM157" s="44"/>
      <c r="AN157" s="44"/>
      <c r="AO157" s="44"/>
    </row>
    <row r="158" spans="35:41" ht="14.25" customHeight="1" x14ac:dyDescent="0.3">
      <c r="AI158" s="44"/>
      <c r="AJ158" s="49"/>
      <c r="AK158" s="44"/>
      <c r="AL158" s="44"/>
      <c r="AM158" s="44"/>
      <c r="AN158" s="44"/>
      <c r="AO158" s="44"/>
    </row>
    <row r="159" spans="35:41" ht="14.25" customHeight="1" x14ac:dyDescent="0.3">
      <c r="AI159" s="44"/>
      <c r="AJ159" s="49"/>
      <c r="AK159" s="44"/>
      <c r="AL159" s="44"/>
      <c r="AM159" s="44"/>
      <c r="AN159" s="44"/>
      <c r="AO159" s="44"/>
    </row>
    <row r="160" spans="35:41" ht="14.25" customHeight="1" x14ac:dyDescent="0.3">
      <c r="AI160" s="44"/>
      <c r="AJ160" s="49"/>
      <c r="AK160" s="44"/>
      <c r="AL160" s="44"/>
      <c r="AM160" s="44"/>
      <c r="AN160" s="44"/>
      <c r="AO160" s="44"/>
    </row>
    <row r="161" spans="35:41" ht="14.25" customHeight="1" x14ac:dyDescent="0.3">
      <c r="AI161" s="44"/>
      <c r="AJ161" s="49"/>
      <c r="AK161" s="44"/>
      <c r="AL161" s="44"/>
      <c r="AM161" s="44"/>
      <c r="AN161" s="44"/>
      <c r="AO161" s="44"/>
    </row>
    <row r="162" spans="35:41" ht="14.25" customHeight="1" x14ac:dyDescent="0.3">
      <c r="AI162" s="44"/>
      <c r="AJ162" s="49"/>
      <c r="AK162" s="44"/>
      <c r="AL162" s="44"/>
      <c r="AM162" s="44"/>
      <c r="AN162" s="44"/>
      <c r="AO162" s="44"/>
    </row>
    <row r="163" spans="35:41" ht="14.25" customHeight="1" x14ac:dyDescent="0.3">
      <c r="AI163" s="44"/>
      <c r="AJ163" s="49"/>
      <c r="AK163" s="44"/>
      <c r="AL163" s="44"/>
      <c r="AM163" s="44"/>
      <c r="AN163" s="44"/>
      <c r="AO163" s="44"/>
    </row>
    <row r="164" spans="35:41" ht="14.25" customHeight="1" x14ac:dyDescent="0.3">
      <c r="AI164" s="44"/>
      <c r="AJ164" s="49"/>
      <c r="AK164" s="44"/>
      <c r="AL164" s="44"/>
      <c r="AM164" s="44"/>
      <c r="AN164" s="44"/>
      <c r="AO164" s="44"/>
    </row>
    <row r="165" spans="35:41" ht="14.25" customHeight="1" x14ac:dyDescent="0.3">
      <c r="AI165" s="44"/>
      <c r="AJ165" s="49"/>
      <c r="AK165" s="44"/>
      <c r="AL165" s="44"/>
      <c r="AM165" s="44"/>
      <c r="AN165" s="44"/>
      <c r="AO165" s="44"/>
    </row>
    <row r="166" spans="35:41" ht="14.25" customHeight="1" x14ac:dyDescent="0.3">
      <c r="AI166" s="44"/>
      <c r="AJ166" s="49"/>
      <c r="AK166" s="44"/>
      <c r="AL166" s="44"/>
      <c r="AM166" s="44"/>
      <c r="AN166" s="44"/>
      <c r="AO166" s="44"/>
    </row>
    <row r="167" spans="35:41" ht="14.25" customHeight="1" x14ac:dyDescent="0.3">
      <c r="AI167" s="44"/>
      <c r="AJ167" s="49"/>
      <c r="AK167" s="44"/>
      <c r="AL167" s="44"/>
      <c r="AM167" s="44"/>
      <c r="AN167" s="44"/>
      <c r="AO167" s="44"/>
    </row>
    <row r="168" spans="35:41" ht="14.25" customHeight="1" x14ac:dyDescent="0.3">
      <c r="AI168" s="44"/>
      <c r="AJ168" s="49"/>
      <c r="AK168" s="44"/>
      <c r="AL168" s="44"/>
      <c r="AM168" s="44"/>
      <c r="AN168" s="44"/>
      <c r="AO168" s="44"/>
    </row>
    <row r="169" spans="35:41" ht="14.25" customHeight="1" x14ac:dyDescent="0.3">
      <c r="AI169" s="44"/>
      <c r="AJ169" s="49"/>
      <c r="AK169" s="44"/>
      <c r="AL169" s="44"/>
      <c r="AM169" s="44"/>
      <c r="AN169" s="44"/>
      <c r="AO169" s="44"/>
    </row>
    <row r="170" spans="35:41" ht="14.25" customHeight="1" x14ac:dyDescent="0.3">
      <c r="AI170" s="44"/>
      <c r="AJ170" s="49"/>
      <c r="AK170" s="44"/>
      <c r="AL170" s="44"/>
      <c r="AM170" s="44"/>
      <c r="AN170" s="44"/>
      <c r="AO170" s="44"/>
    </row>
    <row r="171" spans="35:41" ht="14.25" customHeight="1" x14ac:dyDescent="0.3">
      <c r="AI171" s="44"/>
      <c r="AJ171" s="49"/>
      <c r="AK171" s="44"/>
      <c r="AL171" s="44"/>
      <c r="AM171" s="44"/>
      <c r="AN171" s="44"/>
      <c r="AO171" s="44"/>
    </row>
    <row r="172" spans="35:41" ht="14.25" customHeight="1" x14ac:dyDescent="0.3">
      <c r="AI172" s="44"/>
      <c r="AJ172" s="49"/>
      <c r="AK172" s="44"/>
      <c r="AL172" s="44"/>
      <c r="AM172" s="44"/>
      <c r="AN172" s="44"/>
      <c r="AO172" s="44"/>
    </row>
    <row r="173" spans="35:41" ht="14.25" customHeight="1" x14ac:dyDescent="0.3">
      <c r="AI173" s="44"/>
      <c r="AJ173" s="49"/>
      <c r="AK173" s="44"/>
      <c r="AL173" s="44"/>
      <c r="AM173" s="44"/>
      <c r="AN173" s="44"/>
      <c r="AO173" s="44"/>
    </row>
    <row r="174" spans="35:41" ht="14.25" customHeight="1" x14ac:dyDescent="0.3">
      <c r="AI174" s="44"/>
      <c r="AJ174" s="49"/>
      <c r="AK174" s="44"/>
      <c r="AL174" s="44"/>
      <c r="AM174" s="44"/>
      <c r="AN174" s="44"/>
      <c r="AO174" s="44"/>
    </row>
    <row r="175" spans="35:41" ht="14.25" customHeight="1" x14ac:dyDescent="0.3">
      <c r="AI175" s="44"/>
      <c r="AJ175" s="49"/>
      <c r="AK175" s="44"/>
      <c r="AL175" s="44"/>
      <c r="AM175" s="44"/>
      <c r="AN175" s="44"/>
      <c r="AO175" s="44"/>
    </row>
    <row r="176" spans="35:41" ht="14.25" customHeight="1" x14ac:dyDescent="0.3">
      <c r="AI176" s="44"/>
      <c r="AJ176" s="49"/>
      <c r="AK176" s="44"/>
      <c r="AL176" s="44"/>
      <c r="AM176" s="44"/>
      <c r="AN176" s="44"/>
      <c r="AO176" s="44"/>
    </row>
    <row r="177" spans="35:41" ht="14.25" customHeight="1" x14ac:dyDescent="0.3">
      <c r="AI177" s="44"/>
      <c r="AJ177" s="49"/>
      <c r="AK177" s="44"/>
      <c r="AL177" s="44"/>
      <c r="AM177" s="44"/>
      <c r="AN177" s="44"/>
      <c r="AO177" s="44"/>
    </row>
    <row r="178" spans="35:41" ht="14.25" customHeight="1" x14ac:dyDescent="0.3">
      <c r="AI178" s="44"/>
      <c r="AJ178" s="49"/>
      <c r="AK178" s="44"/>
      <c r="AL178" s="44"/>
      <c r="AM178" s="44"/>
      <c r="AN178" s="44"/>
      <c r="AO178" s="44"/>
    </row>
    <row r="179" spans="35:41" ht="14.25" customHeight="1" x14ac:dyDescent="0.3">
      <c r="AI179" s="44"/>
      <c r="AJ179" s="49"/>
      <c r="AK179" s="44"/>
      <c r="AL179" s="44"/>
      <c r="AM179" s="44"/>
      <c r="AN179" s="44"/>
      <c r="AO179" s="44"/>
    </row>
    <row r="180" spans="35:41" ht="14.25" customHeight="1" x14ac:dyDescent="0.3">
      <c r="AI180" s="44"/>
      <c r="AJ180" s="49"/>
      <c r="AK180" s="44"/>
      <c r="AL180" s="44"/>
      <c r="AM180" s="44"/>
      <c r="AN180" s="44"/>
      <c r="AO180" s="44"/>
    </row>
    <row r="181" spans="35:41" ht="14.25" customHeight="1" x14ac:dyDescent="0.3">
      <c r="AI181" s="44"/>
      <c r="AJ181" s="49"/>
      <c r="AK181" s="44"/>
      <c r="AL181" s="44"/>
      <c r="AM181" s="44"/>
      <c r="AN181" s="44"/>
      <c r="AO181" s="44"/>
    </row>
    <row r="182" spans="35:41" ht="14.25" customHeight="1" x14ac:dyDescent="0.3">
      <c r="AI182" s="44"/>
      <c r="AJ182" s="49"/>
      <c r="AK182" s="44"/>
      <c r="AL182" s="44"/>
      <c r="AM182" s="44"/>
      <c r="AN182" s="44"/>
      <c r="AO182" s="44"/>
    </row>
    <row r="183" spans="35:41" ht="14.25" customHeight="1" x14ac:dyDescent="0.3">
      <c r="AI183" s="44"/>
      <c r="AJ183" s="49"/>
      <c r="AK183" s="44"/>
      <c r="AL183" s="44"/>
      <c r="AM183" s="44"/>
      <c r="AN183" s="44"/>
      <c r="AO183" s="44"/>
    </row>
    <row r="184" spans="35:41" ht="14.25" customHeight="1" x14ac:dyDescent="0.3">
      <c r="AI184" s="44"/>
      <c r="AJ184" s="49"/>
      <c r="AK184" s="44"/>
      <c r="AL184" s="44"/>
      <c r="AM184" s="44"/>
      <c r="AN184" s="44"/>
      <c r="AO184" s="44"/>
    </row>
    <row r="185" spans="35:41" ht="14.25" customHeight="1" x14ac:dyDescent="0.3">
      <c r="AI185" s="44"/>
      <c r="AJ185" s="49"/>
      <c r="AK185" s="44"/>
      <c r="AL185" s="44"/>
      <c r="AM185" s="44"/>
      <c r="AN185" s="44"/>
      <c r="AO185" s="44"/>
    </row>
    <row r="186" spans="35:41" ht="14.25" customHeight="1" x14ac:dyDescent="0.3">
      <c r="AI186" s="44"/>
      <c r="AJ186" s="49"/>
      <c r="AK186" s="44"/>
      <c r="AL186" s="44"/>
      <c r="AM186" s="44"/>
      <c r="AN186" s="44"/>
      <c r="AO186" s="44"/>
    </row>
    <row r="187" spans="35:41" ht="14.25" customHeight="1" x14ac:dyDescent="0.3">
      <c r="AI187" s="44"/>
      <c r="AJ187" s="49"/>
      <c r="AK187" s="44"/>
      <c r="AL187" s="44"/>
      <c r="AM187" s="44"/>
      <c r="AN187" s="44"/>
      <c r="AO187" s="44"/>
    </row>
    <row r="188" spans="35:41" ht="14.25" customHeight="1" x14ac:dyDescent="0.3">
      <c r="AI188" s="44"/>
      <c r="AJ188" s="49"/>
      <c r="AK188" s="44"/>
      <c r="AL188" s="44"/>
      <c r="AM188" s="44"/>
      <c r="AN188" s="44"/>
      <c r="AO188" s="44"/>
    </row>
    <row r="189" spans="35:41" ht="14.25" customHeight="1" x14ac:dyDescent="0.3">
      <c r="AI189" s="44"/>
      <c r="AJ189" s="49"/>
      <c r="AK189" s="44"/>
      <c r="AL189" s="44"/>
      <c r="AM189" s="44"/>
      <c r="AN189" s="44"/>
      <c r="AO189" s="44"/>
    </row>
    <row r="190" spans="35:41" ht="14.25" customHeight="1" x14ac:dyDescent="0.3">
      <c r="AI190" s="44"/>
      <c r="AJ190" s="49"/>
      <c r="AK190" s="44"/>
      <c r="AL190" s="44"/>
      <c r="AM190" s="44"/>
      <c r="AN190" s="44"/>
      <c r="AO190" s="44"/>
    </row>
    <row r="191" spans="35:41" ht="14.25" customHeight="1" x14ac:dyDescent="0.3">
      <c r="AI191" s="44"/>
      <c r="AJ191" s="49"/>
      <c r="AK191" s="44"/>
      <c r="AL191" s="44"/>
      <c r="AM191" s="44"/>
      <c r="AN191" s="44"/>
      <c r="AO191" s="44"/>
    </row>
    <row r="192" spans="35:41" ht="14.25" customHeight="1" x14ac:dyDescent="0.3">
      <c r="AI192" s="44"/>
      <c r="AJ192" s="49"/>
      <c r="AK192" s="44"/>
      <c r="AL192" s="44"/>
      <c r="AM192" s="44"/>
      <c r="AN192" s="44"/>
      <c r="AO192" s="44"/>
    </row>
    <row r="193" spans="35:41" ht="14.25" customHeight="1" x14ac:dyDescent="0.3">
      <c r="AI193" s="44"/>
      <c r="AJ193" s="49"/>
      <c r="AK193" s="44"/>
      <c r="AL193" s="44"/>
      <c r="AM193" s="44"/>
      <c r="AN193" s="44"/>
      <c r="AO193" s="44"/>
    </row>
    <row r="194" spans="35:41" ht="14.25" customHeight="1" x14ac:dyDescent="0.3">
      <c r="AI194" s="44"/>
      <c r="AJ194" s="49"/>
      <c r="AK194" s="44"/>
      <c r="AL194" s="44"/>
      <c r="AM194" s="44"/>
      <c r="AN194" s="44"/>
      <c r="AO194" s="44"/>
    </row>
    <row r="195" spans="35:41" ht="14.25" customHeight="1" x14ac:dyDescent="0.3">
      <c r="AI195" s="44"/>
      <c r="AJ195" s="49"/>
      <c r="AK195" s="44"/>
      <c r="AL195" s="44"/>
      <c r="AM195" s="44"/>
      <c r="AN195" s="44"/>
      <c r="AO195" s="44"/>
    </row>
    <row r="196" spans="35:41" ht="14.25" customHeight="1" x14ac:dyDescent="0.3">
      <c r="AI196" s="44"/>
      <c r="AJ196" s="49"/>
      <c r="AK196" s="44"/>
      <c r="AL196" s="44"/>
      <c r="AM196" s="44"/>
      <c r="AN196" s="44"/>
      <c r="AO196" s="44"/>
    </row>
    <row r="197" spans="35:41" ht="14.25" customHeight="1" x14ac:dyDescent="0.3">
      <c r="AI197" s="44"/>
      <c r="AJ197" s="49"/>
      <c r="AK197" s="44"/>
      <c r="AL197" s="44"/>
      <c r="AM197" s="44"/>
      <c r="AN197" s="44"/>
      <c r="AO197" s="44"/>
    </row>
    <row r="198" spans="35:41" ht="14.25" customHeight="1" x14ac:dyDescent="0.3">
      <c r="AI198" s="44"/>
      <c r="AJ198" s="49"/>
      <c r="AK198" s="44"/>
      <c r="AL198" s="44"/>
      <c r="AM198" s="44"/>
      <c r="AN198" s="44"/>
      <c r="AO198" s="44"/>
    </row>
    <row r="199" spans="35:41" ht="14.25" customHeight="1" x14ac:dyDescent="0.3">
      <c r="AI199" s="44"/>
      <c r="AJ199" s="49"/>
      <c r="AK199" s="44"/>
      <c r="AL199" s="44"/>
      <c r="AM199" s="44"/>
      <c r="AN199" s="44"/>
      <c r="AO199" s="44"/>
    </row>
    <row r="200" spans="35:41" ht="14.25" customHeight="1" x14ac:dyDescent="0.3">
      <c r="AI200" s="44"/>
      <c r="AJ200" s="49"/>
      <c r="AK200" s="44"/>
      <c r="AL200" s="44"/>
      <c r="AM200" s="44"/>
      <c r="AN200" s="44"/>
      <c r="AO200" s="44"/>
    </row>
    <row r="201" spans="35:41" ht="14.25" customHeight="1" x14ac:dyDescent="0.3">
      <c r="AI201" s="44"/>
      <c r="AJ201" s="49"/>
      <c r="AK201" s="44"/>
      <c r="AL201" s="44"/>
      <c r="AM201" s="44"/>
      <c r="AN201" s="44"/>
      <c r="AO201" s="44"/>
    </row>
    <row r="202" spans="35:41" ht="14.25" customHeight="1" x14ac:dyDescent="0.3">
      <c r="AI202" s="44"/>
      <c r="AJ202" s="49"/>
      <c r="AK202" s="44"/>
      <c r="AL202" s="44"/>
      <c r="AM202" s="44"/>
      <c r="AN202" s="44"/>
      <c r="AO202" s="44"/>
    </row>
    <row r="203" spans="35:41" ht="14.25" customHeight="1" x14ac:dyDescent="0.3">
      <c r="AI203" s="44"/>
      <c r="AJ203" s="49"/>
      <c r="AK203" s="44"/>
      <c r="AL203" s="44"/>
      <c r="AM203" s="44"/>
      <c r="AN203" s="44"/>
      <c r="AO203" s="44"/>
    </row>
    <row r="204" spans="35:41" ht="14.25" customHeight="1" x14ac:dyDescent="0.3">
      <c r="AI204" s="44"/>
      <c r="AJ204" s="49"/>
      <c r="AK204" s="44"/>
      <c r="AL204" s="44"/>
      <c r="AM204" s="44"/>
      <c r="AN204" s="44"/>
      <c r="AO204" s="44"/>
    </row>
    <row r="205" spans="35:41" ht="14.25" customHeight="1" x14ac:dyDescent="0.3">
      <c r="AI205" s="44"/>
      <c r="AJ205" s="49"/>
      <c r="AK205" s="44"/>
      <c r="AL205" s="44"/>
      <c r="AM205" s="44"/>
      <c r="AN205" s="44"/>
      <c r="AO205" s="44"/>
    </row>
    <row r="206" spans="35:41" ht="14.25" customHeight="1" x14ac:dyDescent="0.3">
      <c r="AI206" s="44"/>
      <c r="AJ206" s="49"/>
      <c r="AK206" s="44"/>
      <c r="AL206" s="44"/>
      <c r="AM206" s="44"/>
      <c r="AN206" s="44"/>
      <c r="AO206" s="44"/>
    </row>
    <row r="207" spans="35:41" ht="14.25" customHeight="1" x14ac:dyDescent="0.3">
      <c r="AI207" s="44"/>
      <c r="AJ207" s="49"/>
      <c r="AK207" s="44"/>
      <c r="AL207" s="44"/>
      <c r="AM207" s="44"/>
      <c r="AN207" s="44"/>
      <c r="AO207" s="44"/>
    </row>
    <row r="208" spans="35:41" ht="14.25" customHeight="1" x14ac:dyDescent="0.3">
      <c r="AI208" s="44"/>
      <c r="AJ208" s="49"/>
      <c r="AK208" s="44"/>
      <c r="AL208" s="44"/>
      <c r="AM208" s="44"/>
      <c r="AN208" s="44"/>
      <c r="AO208" s="44"/>
    </row>
    <row r="209" spans="35:41" ht="14.25" customHeight="1" x14ac:dyDescent="0.3">
      <c r="AI209" s="44"/>
      <c r="AJ209" s="49"/>
      <c r="AK209" s="44"/>
      <c r="AL209" s="44"/>
      <c r="AM209" s="44"/>
      <c r="AN209" s="44"/>
      <c r="AO209" s="44"/>
    </row>
    <row r="210" spans="35:41" ht="14.25" customHeight="1" x14ac:dyDescent="0.3">
      <c r="AI210" s="44"/>
      <c r="AJ210" s="49"/>
      <c r="AK210" s="44"/>
      <c r="AL210" s="44"/>
      <c r="AM210" s="44"/>
      <c r="AN210" s="44"/>
      <c r="AO210" s="44"/>
    </row>
    <row r="211" spans="35:41" ht="14.25" customHeight="1" x14ac:dyDescent="0.3">
      <c r="AI211" s="44"/>
      <c r="AJ211" s="49"/>
      <c r="AK211" s="44"/>
      <c r="AL211" s="44"/>
      <c r="AM211" s="44"/>
      <c r="AN211" s="44"/>
      <c r="AO211" s="44"/>
    </row>
    <row r="212" spans="35:41" ht="14.25" customHeight="1" x14ac:dyDescent="0.3">
      <c r="AI212" s="44"/>
      <c r="AJ212" s="49"/>
      <c r="AK212" s="44"/>
      <c r="AL212" s="44"/>
      <c r="AM212" s="44"/>
      <c r="AN212" s="44"/>
      <c r="AO212" s="44"/>
    </row>
    <row r="213" spans="35:41" ht="14.25" customHeight="1" x14ac:dyDescent="0.3">
      <c r="AI213" s="44"/>
      <c r="AJ213" s="49"/>
      <c r="AK213" s="44"/>
      <c r="AL213" s="44"/>
      <c r="AM213" s="44"/>
      <c r="AN213" s="44"/>
      <c r="AO213" s="44"/>
    </row>
    <row r="214" spans="35:41" ht="14.25" customHeight="1" x14ac:dyDescent="0.3">
      <c r="AI214" s="44"/>
      <c r="AJ214" s="49"/>
      <c r="AK214" s="44"/>
      <c r="AL214" s="44"/>
      <c r="AM214" s="44"/>
      <c r="AN214" s="44"/>
      <c r="AO214" s="44"/>
    </row>
    <row r="215" spans="35:41" ht="14.25" customHeight="1" x14ac:dyDescent="0.3">
      <c r="AI215" s="44"/>
      <c r="AJ215" s="49"/>
      <c r="AK215" s="44"/>
      <c r="AL215" s="44"/>
      <c r="AM215" s="44"/>
      <c r="AN215" s="44"/>
      <c r="AO215" s="44"/>
    </row>
    <row r="216" spans="35:41" ht="14.25" customHeight="1" x14ac:dyDescent="0.3">
      <c r="AI216" s="44"/>
      <c r="AJ216" s="49"/>
      <c r="AK216" s="44"/>
      <c r="AL216" s="44"/>
      <c r="AM216" s="44"/>
      <c r="AN216" s="44"/>
      <c r="AO216" s="44"/>
    </row>
    <row r="217" spans="35:41" ht="14.25" customHeight="1" x14ac:dyDescent="0.3">
      <c r="AI217" s="44"/>
      <c r="AJ217" s="49"/>
      <c r="AK217" s="44"/>
      <c r="AL217" s="44"/>
      <c r="AM217" s="44"/>
      <c r="AN217" s="44"/>
      <c r="AO217" s="44"/>
    </row>
    <row r="218" spans="35:41" ht="14.25" customHeight="1" x14ac:dyDescent="0.3">
      <c r="AI218" s="44"/>
      <c r="AJ218" s="49"/>
      <c r="AK218" s="44"/>
      <c r="AL218" s="44"/>
      <c r="AM218" s="44"/>
      <c r="AN218" s="44"/>
      <c r="AO218" s="44"/>
    </row>
    <row r="219" spans="35:41" ht="14.25" customHeight="1" x14ac:dyDescent="0.3">
      <c r="AI219" s="44"/>
      <c r="AJ219" s="49"/>
      <c r="AK219" s="44"/>
      <c r="AL219" s="44"/>
      <c r="AM219" s="44"/>
      <c r="AN219" s="44"/>
      <c r="AO219" s="44"/>
    </row>
    <row r="220" spans="35:41" ht="14.25" customHeight="1" x14ac:dyDescent="0.3">
      <c r="AI220" s="44"/>
      <c r="AJ220" s="49"/>
      <c r="AK220" s="44"/>
      <c r="AL220" s="44"/>
      <c r="AM220" s="44"/>
      <c r="AN220" s="44"/>
      <c r="AO220" s="44"/>
    </row>
    <row r="221" spans="35:41" ht="14.25" customHeight="1" x14ac:dyDescent="0.3">
      <c r="AI221" s="44"/>
      <c r="AJ221" s="49"/>
      <c r="AK221" s="44"/>
      <c r="AL221" s="44"/>
      <c r="AM221" s="44"/>
      <c r="AN221" s="44"/>
      <c r="AO221" s="44"/>
    </row>
    <row r="222" spans="35:41" ht="14.25" customHeight="1" x14ac:dyDescent="0.3">
      <c r="AI222" s="44"/>
      <c r="AJ222" s="49"/>
      <c r="AK222" s="44"/>
      <c r="AL222" s="44"/>
      <c r="AM222" s="44"/>
      <c r="AN222" s="44"/>
      <c r="AO222" s="44"/>
    </row>
    <row r="223" spans="35:41" ht="14.25" customHeight="1" x14ac:dyDescent="0.3">
      <c r="AI223" s="44"/>
      <c r="AJ223" s="49"/>
      <c r="AK223" s="44"/>
      <c r="AL223" s="44"/>
      <c r="AM223" s="44"/>
      <c r="AN223" s="44"/>
      <c r="AO223" s="44"/>
    </row>
    <row r="224" spans="35:41" ht="14.25" customHeight="1" x14ac:dyDescent="0.3">
      <c r="AI224" s="44"/>
      <c r="AJ224" s="49"/>
      <c r="AK224" s="44"/>
      <c r="AL224" s="44"/>
      <c r="AM224" s="44"/>
      <c r="AN224" s="44"/>
      <c r="AO224" s="44"/>
    </row>
    <row r="225" spans="35:41" ht="14.25" customHeight="1" x14ac:dyDescent="0.3">
      <c r="AI225" s="44"/>
      <c r="AJ225" s="49"/>
      <c r="AK225" s="44"/>
      <c r="AL225" s="44"/>
      <c r="AM225" s="44"/>
      <c r="AN225" s="44"/>
      <c r="AO225" s="44"/>
    </row>
    <row r="226" spans="35:41" ht="14.25" customHeight="1" x14ac:dyDescent="0.3">
      <c r="AI226" s="44"/>
      <c r="AJ226" s="49"/>
      <c r="AK226" s="44"/>
      <c r="AL226" s="44"/>
      <c r="AM226" s="44"/>
      <c r="AN226" s="44"/>
      <c r="AO226" s="44"/>
    </row>
    <row r="227" spans="35:41" ht="14.25" customHeight="1" x14ac:dyDescent="0.3">
      <c r="AI227" s="44"/>
      <c r="AJ227" s="49"/>
      <c r="AK227" s="44"/>
      <c r="AL227" s="44"/>
      <c r="AM227" s="44"/>
      <c r="AN227" s="44"/>
      <c r="AO227" s="44"/>
    </row>
    <row r="228" spans="35:41" ht="14.25" customHeight="1" x14ac:dyDescent="0.3">
      <c r="AI228" s="44"/>
      <c r="AJ228" s="49"/>
      <c r="AK228" s="44"/>
      <c r="AL228" s="44"/>
      <c r="AM228" s="44"/>
      <c r="AN228" s="44"/>
      <c r="AO228" s="44"/>
    </row>
    <row r="229" spans="35:41" ht="14.25" customHeight="1" x14ac:dyDescent="0.3">
      <c r="AI229" s="44"/>
      <c r="AJ229" s="49"/>
      <c r="AK229" s="44"/>
      <c r="AL229" s="44"/>
      <c r="AM229" s="44"/>
      <c r="AN229" s="44"/>
      <c r="AO229" s="44"/>
    </row>
    <row r="230" spans="35:41" ht="14.25" customHeight="1" x14ac:dyDescent="0.3">
      <c r="AI230" s="44"/>
      <c r="AJ230" s="49"/>
      <c r="AK230" s="44"/>
      <c r="AL230" s="44"/>
      <c r="AM230" s="44"/>
      <c r="AN230" s="44"/>
      <c r="AO230" s="44"/>
    </row>
    <row r="231" spans="35:41" ht="14.25" customHeight="1" x14ac:dyDescent="0.3">
      <c r="AI231" s="44"/>
      <c r="AJ231" s="49"/>
      <c r="AK231" s="44"/>
      <c r="AL231" s="44"/>
      <c r="AM231" s="44"/>
      <c r="AN231" s="44"/>
      <c r="AO231" s="44"/>
    </row>
    <row r="232" spans="35:41" ht="14.25" customHeight="1" x14ac:dyDescent="0.3">
      <c r="AI232" s="44"/>
      <c r="AJ232" s="49"/>
      <c r="AK232" s="44"/>
      <c r="AL232" s="44"/>
      <c r="AM232" s="44"/>
      <c r="AN232" s="44"/>
      <c r="AO232" s="44"/>
    </row>
    <row r="233" spans="35:41" ht="14.25" customHeight="1" x14ac:dyDescent="0.3">
      <c r="AI233" s="44"/>
      <c r="AJ233" s="49"/>
      <c r="AK233" s="44"/>
      <c r="AL233" s="44"/>
      <c r="AM233" s="44"/>
      <c r="AN233" s="44"/>
      <c r="AO233" s="44"/>
    </row>
    <row r="234" spans="35:41" ht="14.25" customHeight="1" x14ac:dyDescent="0.3">
      <c r="AI234" s="44"/>
      <c r="AJ234" s="49"/>
      <c r="AK234" s="44"/>
      <c r="AL234" s="44"/>
      <c r="AM234" s="44"/>
      <c r="AN234" s="44"/>
      <c r="AO234" s="44"/>
    </row>
    <row r="235" spans="35:41" ht="14.25" customHeight="1" x14ac:dyDescent="0.3">
      <c r="AI235" s="44"/>
      <c r="AJ235" s="49"/>
      <c r="AK235" s="44"/>
      <c r="AL235" s="44"/>
      <c r="AM235" s="44"/>
      <c r="AN235" s="44"/>
      <c r="AO235" s="44"/>
    </row>
    <row r="236" spans="35:41" ht="14.25" customHeight="1" x14ac:dyDescent="0.3">
      <c r="AI236" s="44"/>
      <c r="AJ236" s="49"/>
      <c r="AK236" s="44"/>
      <c r="AL236" s="44"/>
      <c r="AM236" s="44"/>
      <c r="AN236" s="44"/>
      <c r="AO236" s="44"/>
    </row>
    <row r="237" spans="35:41" ht="14.25" customHeight="1" x14ac:dyDescent="0.3">
      <c r="AI237" s="44"/>
      <c r="AJ237" s="49"/>
      <c r="AK237" s="44"/>
      <c r="AL237" s="44"/>
      <c r="AM237" s="44"/>
      <c r="AN237" s="44"/>
      <c r="AO237" s="44"/>
    </row>
    <row r="238" spans="35:41" ht="14.25" customHeight="1" x14ac:dyDescent="0.3">
      <c r="AI238" s="44"/>
      <c r="AJ238" s="49"/>
      <c r="AK238" s="44"/>
      <c r="AL238" s="44"/>
      <c r="AM238" s="44"/>
      <c r="AN238" s="44"/>
      <c r="AO238" s="44"/>
    </row>
    <row r="239" spans="35:41" ht="14.25" customHeight="1" x14ac:dyDescent="0.3">
      <c r="AI239" s="44"/>
      <c r="AJ239" s="49"/>
      <c r="AK239" s="44"/>
      <c r="AL239" s="44"/>
      <c r="AM239" s="44"/>
      <c r="AN239" s="44"/>
      <c r="AO239" s="44"/>
    </row>
    <row r="240" spans="35:41" ht="14.25" customHeight="1" x14ac:dyDescent="0.3">
      <c r="AI240" s="44"/>
      <c r="AJ240" s="49"/>
      <c r="AK240" s="44"/>
      <c r="AL240" s="44"/>
      <c r="AM240" s="44"/>
      <c r="AN240" s="44"/>
      <c r="AO240" s="44"/>
    </row>
    <row r="241" spans="35:41" ht="14.25" customHeight="1" x14ac:dyDescent="0.3">
      <c r="AI241" s="44"/>
      <c r="AJ241" s="49"/>
      <c r="AK241" s="44"/>
      <c r="AL241" s="44"/>
      <c r="AM241" s="44"/>
      <c r="AN241" s="44"/>
      <c r="AO241" s="44"/>
    </row>
    <row r="242" spans="35:41" ht="14.25" customHeight="1" x14ac:dyDescent="0.3">
      <c r="AI242" s="44"/>
      <c r="AJ242" s="49"/>
      <c r="AK242" s="44"/>
      <c r="AL242" s="44"/>
      <c r="AM242" s="44"/>
      <c r="AN242" s="44"/>
      <c r="AO242" s="44"/>
    </row>
    <row r="243" spans="35:41" ht="14.25" customHeight="1" x14ac:dyDescent="0.3">
      <c r="AI243" s="44"/>
      <c r="AJ243" s="49"/>
      <c r="AK243" s="44"/>
      <c r="AL243" s="44"/>
      <c r="AM243" s="44"/>
      <c r="AN243" s="44"/>
      <c r="AO243" s="44"/>
    </row>
    <row r="244" spans="35:41" ht="14.25" customHeight="1" x14ac:dyDescent="0.3">
      <c r="AI244" s="44"/>
      <c r="AJ244" s="49"/>
      <c r="AK244" s="44"/>
      <c r="AL244" s="44"/>
      <c r="AM244" s="44"/>
      <c r="AN244" s="44"/>
      <c r="AO244" s="44"/>
    </row>
    <row r="245" spans="35:41" ht="14.25" customHeight="1" x14ac:dyDescent="0.3">
      <c r="AI245" s="44"/>
      <c r="AJ245" s="49"/>
      <c r="AK245" s="44"/>
      <c r="AL245" s="44"/>
      <c r="AM245" s="44"/>
      <c r="AN245" s="44"/>
      <c r="AO245" s="44"/>
    </row>
    <row r="246" spans="35:41" ht="14.25" customHeight="1" x14ac:dyDescent="0.3">
      <c r="AI246" s="44"/>
      <c r="AJ246" s="49"/>
      <c r="AK246" s="44"/>
      <c r="AL246" s="44"/>
      <c r="AM246" s="44"/>
      <c r="AN246" s="44"/>
      <c r="AO246" s="44"/>
    </row>
    <row r="247" spans="35:41" ht="14.25" customHeight="1" x14ac:dyDescent="0.3">
      <c r="AI247" s="44"/>
      <c r="AJ247" s="49"/>
      <c r="AK247" s="44"/>
      <c r="AL247" s="44"/>
      <c r="AM247" s="44"/>
      <c r="AN247" s="44"/>
      <c r="AO247" s="44"/>
    </row>
    <row r="248" spans="35:41" ht="14.25" customHeight="1" x14ac:dyDescent="0.3">
      <c r="AI248" s="44"/>
      <c r="AJ248" s="49"/>
      <c r="AK248" s="44"/>
      <c r="AL248" s="44"/>
      <c r="AM248" s="44"/>
      <c r="AN248" s="44"/>
      <c r="AO248" s="44"/>
    </row>
    <row r="249" spans="35:41" ht="14.25" customHeight="1" x14ac:dyDescent="0.3">
      <c r="AI249" s="44"/>
      <c r="AJ249" s="49"/>
      <c r="AK249" s="44"/>
      <c r="AL249" s="44"/>
      <c r="AM249" s="44"/>
      <c r="AN249" s="44"/>
      <c r="AO249" s="44"/>
    </row>
    <row r="250" spans="35:41" ht="14.25" customHeight="1" x14ac:dyDescent="0.3">
      <c r="AI250" s="44"/>
      <c r="AJ250" s="49"/>
      <c r="AK250" s="44"/>
      <c r="AL250" s="44"/>
      <c r="AM250" s="44"/>
      <c r="AN250" s="44"/>
      <c r="AO250" s="44"/>
    </row>
    <row r="251" spans="35:41" ht="14.25" customHeight="1" x14ac:dyDescent="0.3">
      <c r="AI251" s="44"/>
      <c r="AJ251" s="49"/>
      <c r="AK251" s="44"/>
      <c r="AL251" s="44"/>
      <c r="AM251" s="44"/>
      <c r="AN251" s="44"/>
      <c r="AO251" s="44"/>
    </row>
    <row r="252" spans="35:41" ht="14.25" customHeight="1" x14ac:dyDescent="0.3">
      <c r="AI252" s="44"/>
      <c r="AJ252" s="49"/>
      <c r="AK252" s="44"/>
      <c r="AL252" s="44"/>
      <c r="AM252" s="44"/>
      <c r="AN252" s="44"/>
      <c r="AO252" s="44"/>
    </row>
    <row r="253" spans="35:41" ht="14.25" customHeight="1" x14ac:dyDescent="0.3">
      <c r="AI253" s="44"/>
      <c r="AJ253" s="49"/>
      <c r="AK253" s="44"/>
      <c r="AL253" s="44"/>
      <c r="AM253" s="44"/>
      <c r="AN253" s="44"/>
      <c r="AO253" s="44"/>
    </row>
    <row r="254" spans="35:41" ht="14.25" customHeight="1" x14ac:dyDescent="0.3">
      <c r="AI254" s="44"/>
      <c r="AJ254" s="49"/>
      <c r="AK254" s="44"/>
      <c r="AL254" s="44"/>
      <c r="AM254" s="44"/>
      <c r="AN254" s="44"/>
      <c r="AO254" s="44"/>
    </row>
    <row r="255" spans="35:41" ht="14.25" customHeight="1" x14ac:dyDescent="0.3">
      <c r="AI255" s="44"/>
      <c r="AJ255" s="49"/>
      <c r="AK255" s="44"/>
      <c r="AL255" s="44"/>
      <c r="AM255" s="44"/>
      <c r="AN255" s="44"/>
      <c r="AO255" s="44"/>
    </row>
    <row r="256" spans="35:41" ht="14.25" customHeight="1" x14ac:dyDescent="0.3">
      <c r="AI256" s="44"/>
      <c r="AJ256" s="49"/>
      <c r="AK256" s="44"/>
      <c r="AL256" s="44"/>
      <c r="AM256" s="44"/>
      <c r="AN256" s="44"/>
      <c r="AO256" s="44"/>
    </row>
    <row r="257" spans="35:41" ht="14.25" customHeight="1" x14ac:dyDescent="0.3">
      <c r="AI257" s="44"/>
      <c r="AJ257" s="49"/>
      <c r="AK257" s="44"/>
      <c r="AL257" s="44"/>
      <c r="AM257" s="44"/>
      <c r="AN257" s="44"/>
      <c r="AO257" s="44"/>
    </row>
    <row r="258" spans="35:41" ht="14.25" customHeight="1" x14ac:dyDescent="0.3">
      <c r="AI258" s="44"/>
      <c r="AJ258" s="49"/>
      <c r="AK258" s="44"/>
      <c r="AL258" s="44"/>
      <c r="AM258" s="44"/>
      <c r="AN258" s="44"/>
      <c r="AO258" s="44"/>
    </row>
    <row r="259" spans="35:41" ht="14.25" customHeight="1" x14ac:dyDescent="0.3">
      <c r="AI259" s="44"/>
      <c r="AJ259" s="49"/>
      <c r="AK259" s="44"/>
      <c r="AL259" s="44"/>
      <c r="AM259" s="44"/>
      <c r="AN259" s="44"/>
      <c r="AO259" s="44"/>
    </row>
    <row r="260" spans="35:41" ht="14.25" customHeight="1" x14ac:dyDescent="0.3">
      <c r="AI260" s="44"/>
      <c r="AJ260" s="49"/>
      <c r="AK260" s="44"/>
      <c r="AL260" s="44"/>
      <c r="AM260" s="44"/>
      <c r="AN260" s="44"/>
      <c r="AO260" s="44"/>
    </row>
    <row r="261" spans="35:41" ht="14.25" customHeight="1" x14ac:dyDescent="0.3">
      <c r="AI261" s="44"/>
      <c r="AJ261" s="49"/>
      <c r="AK261" s="44"/>
      <c r="AL261" s="44"/>
      <c r="AM261" s="44"/>
      <c r="AN261" s="44"/>
      <c r="AO261" s="44"/>
    </row>
    <row r="262" spans="35:41" ht="14.25" customHeight="1" x14ac:dyDescent="0.3">
      <c r="AI262" s="44"/>
      <c r="AJ262" s="49"/>
      <c r="AK262" s="44"/>
      <c r="AL262" s="44"/>
      <c r="AM262" s="44"/>
      <c r="AN262" s="44"/>
      <c r="AO262" s="44"/>
    </row>
    <row r="263" spans="35:41" ht="14.25" customHeight="1" x14ac:dyDescent="0.3">
      <c r="AI263" s="44"/>
      <c r="AJ263" s="49"/>
      <c r="AK263" s="44"/>
      <c r="AL263" s="44"/>
      <c r="AM263" s="44"/>
      <c r="AN263" s="44"/>
      <c r="AO263" s="44"/>
    </row>
    <row r="264" spans="35:41" ht="14.25" customHeight="1" x14ac:dyDescent="0.3">
      <c r="AI264" s="44"/>
      <c r="AJ264" s="49"/>
      <c r="AK264" s="44"/>
      <c r="AL264" s="44"/>
      <c r="AM264" s="44"/>
      <c r="AN264" s="44"/>
      <c r="AO264" s="44"/>
    </row>
    <row r="265" spans="35:41" ht="14.25" customHeight="1" x14ac:dyDescent="0.3">
      <c r="AI265" s="44"/>
      <c r="AJ265" s="49"/>
      <c r="AK265" s="44"/>
      <c r="AL265" s="44"/>
      <c r="AM265" s="44"/>
      <c r="AN265" s="44"/>
      <c r="AO265" s="44"/>
    </row>
    <row r="266" spans="35:41" ht="14.25" customHeight="1" x14ac:dyDescent="0.3">
      <c r="AI266" s="44"/>
      <c r="AJ266" s="49"/>
      <c r="AK266" s="44"/>
      <c r="AL266" s="44"/>
      <c r="AM266" s="44"/>
      <c r="AN266" s="44"/>
      <c r="AO266" s="44"/>
    </row>
    <row r="267" spans="35:41" ht="14.25" customHeight="1" x14ac:dyDescent="0.3">
      <c r="AI267" s="44"/>
      <c r="AJ267" s="49"/>
      <c r="AK267" s="44"/>
      <c r="AL267" s="44"/>
      <c r="AM267" s="44"/>
      <c r="AN267" s="44"/>
      <c r="AO267" s="44"/>
    </row>
    <row r="268" spans="35:41" ht="14.25" customHeight="1" x14ac:dyDescent="0.3">
      <c r="AI268" s="44"/>
      <c r="AJ268" s="49"/>
      <c r="AK268" s="44"/>
      <c r="AL268" s="44"/>
      <c r="AM268" s="44"/>
      <c r="AN268" s="44"/>
      <c r="AO268" s="44"/>
    </row>
    <row r="269" spans="35:41" ht="14.25" customHeight="1" x14ac:dyDescent="0.3">
      <c r="AI269" s="44"/>
      <c r="AJ269" s="49"/>
      <c r="AK269" s="44"/>
      <c r="AL269" s="44"/>
      <c r="AM269" s="44"/>
      <c r="AN269" s="44"/>
      <c r="AO269" s="44"/>
    </row>
    <row r="270" spans="35:41" ht="14.25" customHeight="1" x14ac:dyDescent="0.3">
      <c r="AI270" s="44"/>
      <c r="AJ270" s="49"/>
      <c r="AK270" s="44"/>
      <c r="AL270" s="44"/>
      <c r="AM270" s="44"/>
      <c r="AN270" s="44"/>
      <c r="AO270" s="44"/>
    </row>
    <row r="271" spans="35:41" ht="14.25" customHeight="1" x14ac:dyDescent="0.3">
      <c r="AI271" s="44"/>
      <c r="AJ271" s="49"/>
      <c r="AK271" s="44"/>
      <c r="AL271" s="44"/>
      <c r="AM271" s="44"/>
      <c r="AN271" s="44"/>
      <c r="AO271" s="44"/>
    </row>
    <row r="272" spans="35:41" ht="14.25" customHeight="1" x14ac:dyDescent="0.3">
      <c r="AI272" s="44"/>
      <c r="AJ272" s="49"/>
      <c r="AK272" s="44"/>
      <c r="AL272" s="44"/>
      <c r="AM272" s="44"/>
      <c r="AN272" s="44"/>
      <c r="AO272" s="44"/>
    </row>
    <row r="273" spans="35:41" ht="14.25" customHeight="1" x14ac:dyDescent="0.3">
      <c r="AI273" s="44"/>
      <c r="AJ273" s="49"/>
      <c r="AK273" s="44"/>
      <c r="AL273" s="44"/>
      <c r="AM273" s="44"/>
      <c r="AN273" s="44"/>
      <c r="AO273" s="44"/>
    </row>
    <row r="274" spans="35:41" ht="14.25" customHeight="1" x14ac:dyDescent="0.3">
      <c r="AI274" s="44"/>
      <c r="AJ274" s="49"/>
      <c r="AK274" s="44"/>
      <c r="AL274" s="44"/>
      <c r="AM274" s="44"/>
      <c r="AN274" s="44"/>
      <c r="AO274" s="44"/>
    </row>
    <row r="275" spans="35:41" ht="14.25" customHeight="1" x14ac:dyDescent="0.3">
      <c r="AI275" s="44"/>
      <c r="AJ275" s="49"/>
      <c r="AK275" s="44"/>
      <c r="AL275" s="44"/>
      <c r="AM275" s="44"/>
      <c r="AN275" s="44"/>
      <c r="AO275" s="44"/>
    </row>
    <row r="276" spans="35:41" ht="14.25" customHeight="1" x14ac:dyDescent="0.3">
      <c r="AI276" s="44"/>
      <c r="AJ276" s="49"/>
      <c r="AK276" s="44"/>
      <c r="AL276" s="44"/>
      <c r="AM276" s="44"/>
      <c r="AN276" s="44"/>
      <c r="AO276" s="44"/>
    </row>
    <row r="277" spans="35:41" ht="14.25" customHeight="1" x14ac:dyDescent="0.3">
      <c r="AI277" s="44"/>
      <c r="AJ277" s="49"/>
      <c r="AK277" s="44"/>
      <c r="AL277" s="44"/>
      <c r="AM277" s="44"/>
      <c r="AN277" s="44"/>
      <c r="AO277" s="44"/>
    </row>
    <row r="278" spans="35:41" ht="14.25" customHeight="1" x14ac:dyDescent="0.3">
      <c r="AI278" s="44"/>
      <c r="AJ278" s="49"/>
      <c r="AK278" s="44"/>
      <c r="AL278" s="44"/>
      <c r="AM278" s="44"/>
      <c r="AN278" s="44"/>
      <c r="AO278" s="44"/>
    </row>
    <row r="279" spans="35:41" ht="14.25" customHeight="1" x14ac:dyDescent="0.3">
      <c r="AI279" s="44"/>
      <c r="AJ279" s="49"/>
      <c r="AK279" s="44"/>
      <c r="AL279" s="44"/>
      <c r="AM279" s="44"/>
      <c r="AN279" s="44"/>
      <c r="AO279" s="44"/>
    </row>
    <row r="280" spans="35:41" ht="14.25" customHeight="1" x14ac:dyDescent="0.3">
      <c r="AI280" s="44"/>
      <c r="AJ280" s="49"/>
      <c r="AK280" s="44"/>
      <c r="AL280" s="44"/>
      <c r="AM280" s="44"/>
      <c r="AN280" s="44"/>
      <c r="AO280" s="44"/>
    </row>
    <row r="281" spans="35:41" ht="14.25" customHeight="1" x14ac:dyDescent="0.3">
      <c r="AI281" s="44"/>
      <c r="AJ281" s="49"/>
      <c r="AK281" s="44"/>
      <c r="AL281" s="44"/>
      <c r="AM281" s="44"/>
      <c r="AN281" s="44"/>
      <c r="AO281" s="44"/>
    </row>
    <row r="282" spans="35:41" ht="14.25" customHeight="1" x14ac:dyDescent="0.3">
      <c r="AI282" s="44"/>
      <c r="AJ282" s="49"/>
      <c r="AK282" s="44"/>
      <c r="AL282" s="44"/>
      <c r="AM282" s="44"/>
      <c r="AN282" s="44"/>
      <c r="AO282" s="44"/>
    </row>
    <row r="283" spans="35:41" ht="14.25" customHeight="1" x14ac:dyDescent="0.3">
      <c r="AI283" s="44"/>
      <c r="AJ283" s="49"/>
      <c r="AK283" s="44"/>
      <c r="AL283" s="44"/>
      <c r="AM283" s="44"/>
      <c r="AN283" s="44"/>
      <c r="AO283" s="44"/>
    </row>
    <row r="284" spans="35:41" ht="14.25" customHeight="1" x14ac:dyDescent="0.3">
      <c r="AI284" s="44"/>
      <c r="AJ284" s="49"/>
      <c r="AK284" s="44"/>
      <c r="AL284" s="44"/>
      <c r="AM284" s="44"/>
      <c r="AN284" s="44"/>
      <c r="AO284" s="44"/>
    </row>
    <row r="285" spans="35:41" ht="14.25" customHeight="1" x14ac:dyDescent="0.3">
      <c r="AI285" s="44"/>
      <c r="AJ285" s="49"/>
      <c r="AK285" s="44"/>
      <c r="AL285" s="44"/>
      <c r="AM285" s="44"/>
      <c r="AN285" s="44"/>
      <c r="AO285" s="44"/>
    </row>
    <row r="286" spans="35:41" ht="14.25" customHeight="1" x14ac:dyDescent="0.3">
      <c r="AI286" s="44"/>
      <c r="AJ286" s="49"/>
      <c r="AK286" s="44"/>
      <c r="AL286" s="44"/>
      <c r="AM286" s="44"/>
      <c r="AN286" s="44"/>
      <c r="AO286" s="44"/>
    </row>
    <row r="287" spans="35:41" ht="14.25" customHeight="1" x14ac:dyDescent="0.3">
      <c r="AI287" s="44"/>
      <c r="AJ287" s="49"/>
      <c r="AK287" s="44"/>
      <c r="AL287" s="44"/>
      <c r="AM287" s="44"/>
      <c r="AN287" s="44"/>
      <c r="AO287" s="44"/>
    </row>
    <row r="288" spans="35:41" ht="14.25" customHeight="1" x14ac:dyDescent="0.3">
      <c r="AI288" s="44"/>
      <c r="AJ288" s="49"/>
      <c r="AK288" s="44"/>
      <c r="AL288" s="44"/>
      <c r="AM288" s="44"/>
      <c r="AN288" s="44"/>
      <c r="AO288" s="44"/>
    </row>
    <row r="289" spans="35:41" ht="14.25" customHeight="1" x14ac:dyDescent="0.3">
      <c r="AI289" s="44"/>
      <c r="AJ289" s="49"/>
      <c r="AK289" s="44"/>
      <c r="AL289" s="44"/>
      <c r="AM289" s="44"/>
      <c r="AN289" s="44"/>
      <c r="AO289" s="44"/>
    </row>
    <row r="290" spans="35:41" ht="14.25" customHeight="1" x14ac:dyDescent="0.3">
      <c r="AI290" s="44"/>
      <c r="AJ290" s="49"/>
      <c r="AK290" s="44"/>
      <c r="AL290" s="44"/>
      <c r="AM290" s="44"/>
      <c r="AN290" s="44"/>
      <c r="AO290" s="44"/>
    </row>
    <row r="291" spans="35:41" ht="14.25" customHeight="1" x14ac:dyDescent="0.3">
      <c r="AI291" s="44"/>
      <c r="AJ291" s="49"/>
      <c r="AK291" s="44"/>
      <c r="AL291" s="44"/>
      <c r="AM291" s="44"/>
      <c r="AN291" s="44"/>
      <c r="AO291" s="44"/>
    </row>
    <row r="292" spans="35:41" ht="14.25" customHeight="1" x14ac:dyDescent="0.3">
      <c r="AI292" s="44"/>
      <c r="AJ292" s="49"/>
      <c r="AK292" s="44"/>
      <c r="AL292" s="44"/>
      <c r="AM292" s="44"/>
      <c r="AN292" s="44"/>
      <c r="AO292" s="44"/>
    </row>
    <row r="293" spans="35:41" ht="14.25" customHeight="1" x14ac:dyDescent="0.3">
      <c r="AI293" s="44"/>
      <c r="AJ293" s="49"/>
      <c r="AK293" s="44"/>
      <c r="AL293" s="44"/>
      <c r="AM293" s="44"/>
      <c r="AN293" s="44"/>
      <c r="AO293" s="44"/>
    </row>
    <row r="294" spans="35:41" ht="14.25" customHeight="1" x14ac:dyDescent="0.3">
      <c r="AI294" s="44"/>
      <c r="AJ294" s="49"/>
      <c r="AK294" s="44"/>
      <c r="AL294" s="44"/>
      <c r="AM294" s="44"/>
      <c r="AN294" s="44"/>
      <c r="AO294" s="44"/>
    </row>
    <row r="295" spans="35:41" ht="14.25" customHeight="1" x14ac:dyDescent="0.3">
      <c r="AI295" s="44"/>
      <c r="AJ295" s="49"/>
      <c r="AK295" s="44"/>
      <c r="AL295" s="44"/>
      <c r="AM295" s="44"/>
      <c r="AN295" s="44"/>
      <c r="AO295" s="44"/>
    </row>
    <row r="296" spans="35:41" ht="14.25" customHeight="1" x14ac:dyDescent="0.3">
      <c r="AI296" s="44"/>
      <c r="AJ296" s="49"/>
      <c r="AK296" s="44"/>
      <c r="AL296" s="44"/>
      <c r="AM296" s="44"/>
      <c r="AN296" s="44"/>
      <c r="AO296" s="44"/>
    </row>
    <row r="297" spans="35:41" ht="14.25" customHeight="1" x14ac:dyDescent="0.3">
      <c r="AI297" s="44"/>
      <c r="AJ297" s="49"/>
      <c r="AK297" s="44"/>
      <c r="AL297" s="44"/>
      <c r="AM297" s="44"/>
      <c r="AN297" s="44"/>
      <c r="AO297" s="44"/>
    </row>
    <row r="298" spans="35:41" ht="14.25" customHeight="1" x14ac:dyDescent="0.3">
      <c r="AI298" s="44"/>
      <c r="AJ298" s="49"/>
      <c r="AK298" s="44"/>
      <c r="AL298" s="44"/>
      <c r="AM298" s="44"/>
      <c r="AN298" s="44"/>
      <c r="AO298" s="44"/>
    </row>
    <row r="299" spans="35:41" ht="14.25" customHeight="1" x14ac:dyDescent="0.3">
      <c r="AI299" s="44"/>
      <c r="AJ299" s="49"/>
      <c r="AK299" s="44"/>
      <c r="AL299" s="44"/>
      <c r="AM299" s="44"/>
      <c r="AN299" s="44"/>
      <c r="AO299" s="44"/>
    </row>
    <row r="300" spans="35:41" ht="14.25" customHeight="1" x14ac:dyDescent="0.3">
      <c r="AI300" s="44"/>
      <c r="AJ300" s="49"/>
      <c r="AK300" s="44"/>
      <c r="AL300" s="44"/>
      <c r="AM300" s="44"/>
      <c r="AN300" s="44"/>
      <c r="AO300" s="44"/>
    </row>
    <row r="301" spans="35:41" ht="14.25" customHeight="1" x14ac:dyDescent="0.3">
      <c r="AI301" s="44"/>
      <c r="AJ301" s="49"/>
      <c r="AK301" s="44"/>
      <c r="AL301" s="44"/>
      <c r="AM301" s="44"/>
      <c r="AN301" s="44"/>
      <c r="AO301" s="44"/>
    </row>
    <row r="302" spans="35:41" ht="14.25" customHeight="1" x14ac:dyDescent="0.3">
      <c r="AI302" s="44"/>
      <c r="AJ302" s="49"/>
      <c r="AK302" s="44"/>
      <c r="AL302" s="44"/>
      <c r="AM302" s="44"/>
      <c r="AN302" s="44"/>
      <c r="AO302" s="44"/>
    </row>
    <row r="303" spans="35:41" ht="14.25" customHeight="1" x14ac:dyDescent="0.3">
      <c r="AI303" s="44"/>
      <c r="AJ303" s="49"/>
      <c r="AK303" s="44"/>
      <c r="AL303" s="44"/>
      <c r="AM303" s="44"/>
      <c r="AN303" s="44"/>
      <c r="AO303" s="44"/>
    </row>
    <row r="304" spans="35:41" ht="14.25" customHeight="1" x14ac:dyDescent="0.3">
      <c r="AI304" s="44"/>
      <c r="AJ304" s="49"/>
      <c r="AK304" s="44"/>
      <c r="AL304" s="44"/>
      <c r="AM304" s="44"/>
      <c r="AN304" s="44"/>
      <c r="AO304" s="44"/>
    </row>
    <row r="305" spans="35:41" ht="14.25" customHeight="1" x14ac:dyDescent="0.3">
      <c r="AI305" s="44"/>
      <c r="AJ305" s="49"/>
      <c r="AK305" s="44"/>
      <c r="AL305" s="44"/>
      <c r="AM305" s="44"/>
      <c r="AN305" s="44"/>
      <c r="AO305" s="44"/>
    </row>
    <row r="306" spans="35:41" ht="14.25" customHeight="1" x14ac:dyDescent="0.3">
      <c r="AI306" s="44"/>
      <c r="AJ306" s="49"/>
      <c r="AK306" s="44"/>
      <c r="AL306" s="44"/>
      <c r="AM306" s="44"/>
      <c r="AN306" s="44"/>
      <c r="AO306" s="44"/>
    </row>
    <row r="307" spans="35:41" ht="14.25" customHeight="1" x14ac:dyDescent="0.3">
      <c r="AI307" s="44"/>
      <c r="AJ307" s="49"/>
      <c r="AK307" s="44"/>
      <c r="AL307" s="44"/>
      <c r="AM307" s="44"/>
      <c r="AN307" s="44"/>
      <c r="AO307" s="44"/>
    </row>
    <row r="308" spans="35:41" ht="14.25" customHeight="1" x14ac:dyDescent="0.3">
      <c r="AI308" s="44"/>
      <c r="AJ308" s="49"/>
      <c r="AK308" s="44"/>
      <c r="AL308" s="44"/>
      <c r="AM308" s="44"/>
      <c r="AN308" s="44"/>
      <c r="AO308" s="44"/>
    </row>
    <row r="309" spans="35:41" ht="14.25" customHeight="1" x14ac:dyDescent="0.3">
      <c r="AI309" s="44"/>
      <c r="AJ309" s="49"/>
      <c r="AK309" s="44"/>
      <c r="AL309" s="44"/>
      <c r="AM309" s="44"/>
      <c r="AN309" s="44"/>
      <c r="AO309" s="44"/>
    </row>
    <row r="310" spans="35:41" ht="14.25" customHeight="1" x14ac:dyDescent="0.3">
      <c r="AI310" s="44"/>
      <c r="AJ310" s="49"/>
      <c r="AK310" s="44"/>
      <c r="AL310" s="44"/>
      <c r="AM310" s="44"/>
      <c r="AN310" s="44"/>
      <c r="AO310" s="44"/>
    </row>
    <row r="311" spans="35:41" ht="14.25" customHeight="1" x14ac:dyDescent="0.3">
      <c r="AI311" s="44"/>
      <c r="AJ311" s="49"/>
      <c r="AK311" s="44"/>
      <c r="AL311" s="44"/>
      <c r="AM311" s="44"/>
      <c r="AN311" s="44"/>
      <c r="AO311" s="44"/>
    </row>
    <row r="312" spans="35:41" ht="14.25" customHeight="1" x14ac:dyDescent="0.3">
      <c r="AI312" s="44"/>
      <c r="AJ312" s="49"/>
      <c r="AK312" s="44"/>
      <c r="AL312" s="44"/>
      <c r="AM312" s="44"/>
      <c r="AN312" s="44"/>
      <c r="AO312" s="44"/>
    </row>
    <row r="313" spans="35:41" ht="14.25" customHeight="1" x14ac:dyDescent="0.3">
      <c r="AI313" s="44"/>
      <c r="AJ313" s="49"/>
      <c r="AK313" s="44"/>
      <c r="AL313" s="44"/>
      <c r="AM313" s="44"/>
      <c r="AN313" s="44"/>
      <c r="AO313" s="44"/>
    </row>
    <row r="314" spans="35:41" ht="14.25" customHeight="1" x14ac:dyDescent="0.3">
      <c r="AI314" s="44"/>
      <c r="AJ314" s="49"/>
      <c r="AK314" s="44"/>
      <c r="AL314" s="44"/>
      <c r="AM314" s="44"/>
      <c r="AN314" s="44"/>
      <c r="AO314" s="44"/>
    </row>
    <row r="315" spans="35:41" ht="14.25" customHeight="1" x14ac:dyDescent="0.3">
      <c r="AI315" s="44"/>
      <c r="AJ315" s="49"/>
      <c r="AK315" s="44"/>
      <c r="AL315" s="44"/>
      <c r="AM315" s="44"/>
      <c r="AN315" s="44"/>
      <c r="AO315" s="44"/>
    </row>
    <row r="316" spans="35:41" ht="14.25" customHeight="1" x14ac:dyDescent="0.3">
      <c r="AI316" s="44"/>
      <c r="AJ316" s="49"/>
      <c r="AK316" s="44"/>
      <c r="AL316" s="44"/>
      <c r="AM316" s="44"/>
      <c r="AN316" s="44"/>
      <c r="AO316" s="44"/>
    </row>
    <row r="317" spans="35:41" ht="14.25" customHeight="1" x14ac:dyDescent="0.3">
      <c r="AI317" s="44"/>
      <c r="AJ317" s="49"/>
      <c r="AK317" s="44"/>
      <c r="AL317" s="44"/>
      <c r="AM317" s="44"/>
      <c r="AN317" s="44"/>
      <c r="AO317" s="44"/>
    </row>
    <row r="318" spans="35:41" ht="14.25" customHeight="1" x14ac:dyDescent="0.3">
      <c r="AI318" s="44"/>
      <c r="AJ318" s="49"/>
      <c r="AK318" s="44"/>
      <c r="AL318" s="44"/>
      <c r="AM318" s="44"/>
      <c r="AN318" s="44"/>
      <c r="AO318" s="44"/>
    </row>
    <row r="319" spans="35:41" ht="14.25" customHeight="1" x14ac:dyDescent="0.3">
      <c r="AI319" s="44"/>
      <c r="AJ319" s="49"/>
      <c r="AK319" s="44"/>
      <c r="AL319" s="44"/>
      <c r="AM319" s="44"/>
      <c r="AN319" s="44"/>
      <c r="AO319" s="44"/>
    </row>
    <row r="320" spans="35:41" ht="14.25" customHeight="1" x14ac:dyDescent="0.3">
      <c r="AI320" s="44"/>
      <c r="AJ320" s="49"/>
      <c r="AK320" s="44"/>
      <c r="AL320" s="44"/>
      <c r="AM320" s="44"/>
      <c r="AN320" s="44"/>
      <c r="AO320" s="44"/>
    </row>
    <row r="321" spans="35:41" ht="14.25" customHeight="1" x14ac:dyDescent="0.3">
      <c r="AI321" s="44"/>
      <c r="AJ321" s="49"/>
      <c r="AK321" s="44"/>
      <c r="AL321" s="44"/>
      <c r="AM321" s="44"/>
      <c r="AN321" s="44"/>
      <c r="AO321" s="44"/>
    </row>
    <row r="322" spans="35:41" ht="14.25" customHeight="1" x14ac:dyDescent="0.3">
      <c r="AI322" s="44"/>
      <c r="AJ322" s="49"/>
      <c r="AK322" s="44"/>
      <c r="AL322" s="44"/>
      <c r="AM322" s="44"/>
      <c r="AN322" s="44"/>
      <c r="AO322" s="44"/>
    </row>
    <row r="323" spans="35:41" ht="14.25" customHeight="1" x14ac:dyDescent="0.3">
      <c r="AI323" s="44"/>
      <c r="AJ323" s="49"/>
      <c r="AK323" s="44"/>
      <c r="AL323" s="44"/>
      <c r="AM323" s="44"/>
      <c r="AN323" s="44"/>
      <c r="AO323" s="44"/>
    </row>
    <row r="324" spans="35:41" ht="14.25" customHeight="1" x14ac:dyDescent="0.3">
      <c r="AI324" s="44"/>
      <c r="AJ324" s="49"/>
      <c r="AK324" s="44"/>
      <c r="AL324" s="44"/>
      <c r="AM324" s="44"/>
      <c r="AN324" s="44"/>
      <c r="AO324" s="44"/>
    </row>
    <row r="325" spans="35:41" ht="14.25" customHeight="1" x14ac:dyDescent="0.3">
      <c r="AI325" s="44"/>
      <c r="AJ325" s="49"/>
      <c r="AK325" s="44"/>
      <c r="AL325" s="44"/>
      <c r="AM325" s="44"/>
      <c r="AN325" s="44"/>
      <c r="AO325" s="44"/>
    </row>
    <row r="326" spans="35:41" ht="14.25" customHeight="1" x14ac:dyDescent="0.3">
      <c r="AI326" s="44"/>
      <c r="AJ326" s="49"/>
      <c r="AK326" s="44"/>
      <c r="AL326" s="44"/>
      <c r="AM326" s="44"/>
      <c r="AN326" s="44"/>
      <c r="AO326" s="44"/>
    </row>
    <row r="327" spans="35:41" ht="14.25" customHeight="1" x14ac:dyDescent="0.3">
      <c r="AI327" s="44"/>
      <c r="AJ327" s="49"/>
      <c r="AK327" s="44"/>
      <c r="AL327" s="44"/>
      <c r="AM327" s="44"/>
      <c r="AN327" s="44"/>
      <c r="AO327" s="44"/>
    </row>
    <row r="328" spans="35:41" ht="14.25" customHeight="1" x14ac:dyDescent="0.3">
      <c r="AI328" s="44"/>
      <c r="AJ328" s="49"/>
      <c r="AK328" s="44"/>
      <c r="AL328" s="44"/>
      <c r="AM328" s="44"/>
      <c r="AN328" s="44"/>
      <c r="AO328" s="44"/>
    </row>
    <row r="329" spans="35:41" ht="14.25" customHeight="1" x14ac:dyDescent="0.3">
      <c r="AI329" s="44"/>
      <c r="AJ329" s="49"/>
      <c r="AK329" s="44"/>
      <c r="AL329" s="44"/>
      <c r="AM329" s="44"/>
      <c r="AN329" s="44"/>
      <c r="AO329" s="44"/>
    </row>
    <row r="330" spans="35:41" ht="14.25" customHeight="1" x14ac:dyDescent="0.3">
      <c r="AI330" s="44"/>
      <c r="AJ330" s="49"/>
      <c r="AK330" s="44"/>
      <c r="AL330" s="44"/>
      <c r="AM330" s="44"/>
      <c r="AN330" s="44"/>
      <c r="AO330" s="44"/>
    </row>
    <row r="331" spans="35:41" ht="14.25" customHeight="1" x14ac:dyDescent="0.3">
      <c r="AI331" s="44"/>
      <c r="AJ331" s="49"/>
      <c r="AK331" s="44"/>
      <c r="AL331" s="44"/>
      <c r="AM331" s="44"/>
      <c r="AN331" s="44"/>
      <c r="AO331" s="44"/>
    </row>
    <row r="332" spans="35:41" ht="14.25" customHeight="1" x14ac:dyDescent="0.3">
      <c r="AI332" s="44"/>
      <c r="AJ332" s="49"/>
      <c r="AK332" s="44"/>
      <c r="AL332" s="44"/>
      <c r="AM332" s="44"/>
      <c r="AN332" s="44"/>
      <c r="AO332" s="44"/>
    </row>
    <row r="333" spans="35:41" ht="14.25" customHeight="1" x14ac:dyDescent="0.3">
      <c r="AI333" s="44"/>
      <c r="AJ333" s="49"/>
      <c r="AK333" s="44"/>
      <c r="AL333" s="44"/>
      <c r="AM333" s="44"/>
      <c r="AN333" s="44"/>
      <c r="AO333" s="44"/>
    </row>
    <row r="334" spans="35:41" ht="14.25" customHeight="1" x14ac:dyDescent="0.3">
      <c r="AI334" s="44"/>
      <c r="AJ334" s="49"/>
      <c r="AK334" s="44"/>
      <c r="AL334" s="44"/>
      <c r="AM334" s="44"/>
      <c r="AN334" s="44"/>
      <c r="AO334" s="44"/>
    </row>
    <row r="335" spans="35:41" ht="14.25" customHeight="1" x14ac:dyDescent="0.3">
      <c r="AI335" s="44"/>
      <c r="AJ335" s="49"/>
      <c r="AK335" s="44"/>
      <c r="AL335" s="44"/>
      <c r="AM335" s="44"/>
      <c r="AN335" s="44"/>
      <c r="AO335" s="44"/>
    </row>
    <row r="336" spans="35:41" ht="14.25" customHeight="1" x14ac:dyDescent="0.3">
      <c r="AI336" s="44"/>
      <c r="AJ336" s="49"/>
      <c r="AK336" s="44"/>
      <c r="AL336" s="44"/>
      <c r="AM336" s="44"/>
      <c r="AN336" s="44"/>
      <c r="AO336" s="44"/>
    </row>
    <row r="337" spans="35:41" ht="14.25" customHeight="1" x14ac:dyDescent="0.3">
      <c r="AI337" s="44"/>
      <c r="AJ337" s="49"/>
      <c r="AK337" s="44"/>
      <c r="AL337" s="44"/>
      <c r="AM337" s="44"/>
      <c r="AN337" s="44"/>
      <c r="AO337" s="44"/>
    </row>
    <row r="338" spans="35:41" ht="14.25" customHeight="1" x14ac:dyDescent="0.3">
      <c r="AI338" s="44"/>
      <c r="AJ338" s="49"/>
      <c r="AK338" s="44"/>
      <c r="AL338" s="44"/>
      <c r="AM338" s="44"/>
      <c r="AN338" s="44"/>
      <c r="AO338" s="44"/>
    </row>
    <row r="339" spans="35:41" ht="14.25" customHeight="1" x14ac:dyDescent="0.3">
      <c r="AI339" s="44"/>
      <c r="AJ339" s="49"/>
      <c r="AK339" s="44"/>
      <c r="AL339" s="44"/>
      <c r="AM339" s="44"/>
      <c r="AN339" s="44"/>
      <c r="AO339" s="44"/>
    </row>
    <row r="340" spans="35:41" ht="14.25" customHeight="1" x14ac:dyDescent="0.3">
      <c r="AI340" s="44"/>
      <c r="AJ340" s="49"/>
      <c r="AK340" s="44"/>
      <c r="AL340" s="44"/>
      <c r="AM340" s="44"/>
      <c r="AN340" s="44"/>
      <c r="AO340" s="44"/>
    </row>
    <row r="341" spans="35:41" ht="14.25" customHeight="1" x14ac:dyDescent="0.3">
      <c r="AI341" s="44"/>
      <c r="AJ341" s="49"/>
      <c r="AK341" s="44"/>
      <c r="AL341" s="44"/>
      <c r="AM341" s="44"/>
      <c r="AN341" s="44"/>
      <c r="AO341" s="44"/>
    </row>
    <row r="342" spans="35:41" ht="14.25" customHeight="1" x14ac:dyDescent="0.3">
      <c r="AI342" s="44"/>
      <c r="AJ342" s="49"/>
      <c r="AK342" s="44"/>
      <c r="AL342" s="44"/>
      <c r="AM342" s="44"/>
      <c r="AN342" s="44"/>
      <c r="AO342" s="44"/>
    </row>
    <row r="343" spans="35:41" ht="14.25" customHeight="1" x14ac:dyDescent="0.3">
      <c r="AI343" s="44"/>
      <c r="AJ343" s="49"/>
      <c r="AK343" s="44"/>
      <c r="AL343" s="44"/>
      <c r="AM343" s="44"/>
      <c r="AN343" s="44"/>
      <c r="AO343" s="44"/>
    </row>
    <row r="344" spans="35:41" ht="14.25" customHeight="1" x14ac:dyDescent="0.3">
      <c r="AI344" s="44"/>
      <c r="AJ344" s="49"/>
      <c r="AK344" s="44"/>
      <c r="AL344" s="44"/>
      <c r="AM344" s="44"/>
      <c r="AN344" s="44"/>
      <c r="AO344" s="44"/>
    </row>
    <row r="345" spans="35:41" ht="14.25" customHeight="1" x14ac:dyDescent="0.3">
      <c r="AI345" s="44"/>
      <c r="AJ345" s="49"/>
      <c r="AK345" s="44"/>
      <c r="AL345" s="44"/>
      <c r="AM345" s="44"/>
      <c r="AN345" s="44"/>
      <c r="AO345" s="44"/>
    </row>
    <row r="346" spans="35:41" ht="14.25" customHeight="1" x14ac:dyDescent="0.3">
      <c r="AI346" s="44"/>
      <c r="AJ346" s="49"/>
      <c r="AK346" s="44"/>
      <c r="AL346" s="44"/>
      <c r="AM346" s="44"/>
      <c r="AN346" s="44"/>
      <c r="AO346" s="44"/>
    </row>
    <row r="347" spans="35:41" ht="14.25" customHeight="1" x14ac:dyDescent="0.3">
      <c r="AI347" s="44"/>
      <c r="AJ347" s="49"/>
      <c r="AK347" s="44"/>
      <c r="AL347" s="44"/>
      <c r="AM347" s="44"/>
      <c r="AN347" s="44"/>
      <c r="AO347" s="44"/>
    </row>
    <row r="348" spans="35:41" ht="14.25" customHeight="1" x14ac:dyDescent="0.3">
      <c r="AI348" s="44"/>
      <c r="AJ348" s="49"/>
      <c r="AK348" s="44"/>
      <c r="AL348" s="44"/>
      <c r="AM348" s="44"/>
      <c r="AN348" s="44"/>
      <c r="AO348" s="44"/>
    </row>
    <row r="349" spans="35:41" ht="14.25" customHeight="1" x14ac:dyDescent="0.3">
      <c r="AI349" s="44"/>
      <c r="AJ349" s="49"/>
      <c r="AK349" s="44"/>
      <c r="AL349" s="44"/>
      <c r="AM349" s="44"/>
      <c r="AN349" s="44"/>
      <c r="AO349" s="44"/>
    </row>
    <row r="350" spans="35:41" ht="14.25" customHeight="1" x14ac:dyDescent="0.3">
      <c r="AI350" s="44"/>
      <c r="AJ350" s="49"/>
      <c r="AK350" s="44"/>
      <c r="AL350" s="44"/>
      <c r="AM350" s="44"/>
      <c r="AN350" s="44"/>
      <c r="AO350" s="44"/>
    </row>
    <row r="351" spans="35:41" ht="14.25" customHeight="1" x14ac:dyDescent="0.3">
      <c r="AI351" s="44"/>
      <c r="AJ351" s="49"/>
      <c r="AK351" s="44"/>
      <c r="AL351" s="44"/>
      <c r="AM351" s="44"/>
      <c r="AN351" s="44"/>
      <c r="AO351" s="44"/>
    </row>
    <row r="352" spans="35:41" ht="14.25" customHeight="1" x14ac:dyDescent="0.3">
      <c r="AI352" s="44"/>
      <c r="AJ352" s="49"/>
      <c r="AK352" s="44"/>
      <c r="AL352" s="44"/>
      <c r="AM352" s="44"/>
      <c r="AN352" s="44"/>
      <c r="AO352" s="44"/>
    </row>
    <row r="353" spans="35:41" ht="14.25" customHeight="1" x14ac:dyDescent="0.3">
      <c r="AI353" s="44"/>
      <c r="AJ353" s="49"/>
      <c r="AK353" s="44"/>
      <c r="AL353" s="44"/>
      <c r="AM353" s="44"/>
      <c r="AN353" s="44"/>
      <c r="AO353" s="44"/>
    </row>
    <row r="354" spans="35:41" ht="14.25" customHeight="1" x14ac:dyDescent="0.3">
      <c r="AI354" s="44"/>
      <c r="AJ354" s="49"/>
      <c r="AK354" s="44"/>
      <c r="AL354" s="44"/>
      <c r="AM354" s="44"/>
      <c r="AN354" s="44"/>
      <c r="AO354" s="44"/>
    </row>
    <row r="355" spans="35:41" ht="14.25" customHeight="1" x14ac:dyDescent="0.3">
      <c r="AI355" s="44"/>
      <c r="AJ355" s="49"/>
      <c r="AK355" s="44"/>
      <c r="AL355" s="44"/>
      <c r="AM355" s="44"/>
      <c r="AN355" s="44"/>
      <c r="AO355" s="44"/>
    </row>
    <row r="356" spans="35:41" ht="14.25" customHeight="1" x14ac:dyDescent="0.3">
      <c r="AI356" s="44"/>
      <c r="AJ356" s="49"/>
      <c r="AK356" s="44"/>
      <c r="AL356" s="44"/>
      <c r="AM356" s="44"/>
      <c r="AN356" s="44"/>
      <c r="AO356" s="44"/>
    </row>
    <row r="357" spans="35:41" ht="14.25" customHeight="1" x14ac:dyDescent="0.3">
      <c r="AI357" s="44"/>
      <c r="AJ357" s="49"/>
      <c r="AK357" s="44"/>
      <c r="AL357" s="44"/>
      <c r="AM357" s="44"/>
      <c r="AN357" s="44"/>
      <c r="AO357" s="44"/>
    </row>
    <row r="358" spans="35:41" ht="14.25" customHeight="1" x14ac:dyDescent="0.3">
      <c r="AI358" s="44"/>
      <c r="AJ358" s="49"/>
      <c r="AK358" s="44"/>
      <c r="AL358" s="44"/>
      <c r="AM358" s="44"/>
      <c r="AN358" s="44"/>
      <c r="AO358" s="44"/>
    </row>
    <row r="359" spans="35:41" ht="14.25" customHeight="1" x14ac:dyDescent="0.3">
      <c r="AI359" s="44"/>
      <c r="AJ359" s="49"/>
      <c r="AK359" s="44"/>
      <c r="AL359" s="44"/>
      <c r="AM359" s="44"/>
      <c r="AN359" s="44"/>
      <c r="AO359" s="44"/>
    </row>
    <row r="360" spans="35:41" ht="14.25" customHeight="1" x14ac:dyDescent="0.3">
      <c r="AI360" s="44"/>
      <c r="AJ360" s="49"/>
      <c r="AK360" s="44"/>
      <c r="AL360" s="44"/>
      <c r="AM360" s="44"/>
      <c r="AN360" s="44"/>
      <c r="AO360" s="44"/>
    </row>
    <row r="361" spans="35:41" ht="14.25" customHeight="1" x14ac:dyDescent="0.3">
      <c r="AI361" s="44"/>
      <c r="AJ361" s="49"/>
      <c r="AK361" s="44"/>
      <c r="AL361" s="44"/>
      <c r="AM361" s="44"/>
      <c r="AN361" s="44"/>
      <c r="AO361" s="44"/>
    </row>
    <row r="362" spans="35:41" ht="14.25" customHeight="1" x14ac:dyDescent="0.3">
      <c r="AI362" s="44"/>
      <c r="AJ362" s="49"/>
      <c r="AK362" s="44"/>
      <c r="AL362" s="44"/>
      <c r="AM362" s="44"/>
      <c r="AN362" s="44"/>
      <c r="AO362" s="44"/>
    </row>
    <row r="363" spans="35:41" ht="14.25" customHeight="1" x14ac:dyDescent="0.3">
      <c r="AI363" s="44"/>
      <c r="AJ363" s="49"/>
      <c r="AK363" s="44"/>
      <c r="AL363" s="44"/>
      <c r="AM363" s="44"/>
      <c r="AN363" s="44"/>
      <c r="AO363" s="44"/>
    </row>
    <row r="364" spans="35:41" ht="14.25" customHeight="1" x14ac:dyDescent="0.3">
      <c r="AI364" s="44"/>
      <c r="AJ364" s="49"/>
      <c r="AK364" s="44"/>
      <c r="AL364" s="44"/>
      <c r="AM364" s="44"/>
      <c r="AN364" s="44"/>
      <c r="AO364" s="44"/>
    </row>
    <row r="365" spans="35:41" ht="14.25" customHeight="1" x14ac:dyDescent="0.3">
      <c r="AI365" s="44"/>
      <c r="AJ365" s="49"/>
      <c r="AK365" s="44"/>
      <c r="AL365" s="44"/>
      <c r="AM365" s="44"/>
      <c r="AN365" s="44"/>
      <c r="AO365" s="44"/>
    </row>
    <row r="366" spans="35:41" ht="14.25" customHeight="1" x14ac:dyDescent="0.3">
      <c r="AI366" s="44"/>
      <c r="AJ366" s="49"/>
      <c r="AK366" s="44"/>
      <c r="AL366" s="44"/>
      <c r="AM366" s="44"/>
      <c r="AN366" s="44"/>
      <c r="AO366" s="44"/>
    </row>
    <row r="367" spans="35:41" ht="14.25" customHeight="1" x14ac:dyDescent="0.3">
      <c r="AI367" s="44"/>
      <c r="AJ367" s="49"/>
      <c r="AK367" s="44"/>
      <c r="AL367" s="44"/>
      <c r="AM367" s="44"/>
      <c r="AN367" s="44"/>
      <c r="AO367" s="44"/>
    </row>
    <row r="368" spans="35:41" ht="14.25" customHeight="1" x14ac:dyDescent="0.3">
      <c r="AI368" s="44"/>
      <c r="AJ368" s="49"/>
      <c r="AK368" s="44"/>
      <c r="AL368" s="44"/>
      <c r="AM368" s="44"/>
      <c r="AN368" s="44"/>
      <c r="AO368" s="44"/>
    </row>
    <row r="369" spans="35:41" ht="14.25" customHeight="1" x14ac:dyDescent="0.3">
      <c r="AI369" s="44"/>
      <c r="AJ369" s="49"/>
      <c r="AK369" s="44"/>
      <c r="AL369" s="44"/>
      <c r="AM369" s="44"/>
      <c r="AN369" s="44"/>
      <c r="AO369" s="44"/>
    </row>
    <row r="370" spans="35:41" ht="14.25" customHeight="1" x14ac:dyDescent="0.3">
      <c r="AI370" s="44"/>
      <c r="AJ370" s="49"/>
      <c r="AK370" s="44"/>
      <c r="AL370" s="44"/>
      <c r="AM370" s="44"/>
      <c r="AN370" s="44"/>
      <c r="AO370" s="44"/>
    </row>
    <row r="371" spans="35:41" ht="14.25" customHeight="1" x14ac:dyDescent="0.3">
      <c r="AI371" s="44"/>
      <c r="AJ371" s="49"/>
      <c r="AK371" s="44"/>
      <c r="AL371" s="44"/>
      <c r="AM371" s="44"/>
      <c r="AN371" s="44"/>
      <c r="AO371" s="44"/>
    </row>
    <row r="372" spans="35:41" ht="14.25" customHeight="1" x14ac:dyDescent="0.3">
      <c r="AI372" s="44"/>
      <c r="AJ372" s="49"/>
      <c r="AK372" s="44"/>
      <c r="AL372" s="44"/>
      <c r="AM372" s="44"/>
      <c r="AN372" s="44"/>
      <c r="AO372" s="44"/>
    </row>
    <row r="373" spans="35:41" ht="14.25" customHeight="1" x14ac:dyDescent="0.3">
      <c r="AI373" s="44"/>
      <c r="AJ373" s="49"/>
      <c r="AK373" s="44"/>
      <c r="AL373" s="44"/>
      <c r="AM373" s="44"/>
      <c r="AN373" s="44"/>
      <c r="AO373" s="44"/>
    </row>
    <row r="374" spans="35:41" ht="14.25" customHeight="1" x14ac:dyDescent="0.3">
      <c r="AI374" s="44"/>
      <c r="AJ374" s="49"/>
      <c r="AK374" s="44"/>
      <c r="AL374" s="44"/>
      <c r="AM374" s="44"/>
      <c r="AN374" s="44"/>
      <c r="AO374" s="44"/>
    </row>
    <row r="375" spans="35:41" ht="14.25" customHeight="1" x14ac:dyDescent="0.3">
      <c r="AI375" s="44"/>
      <c r="AJ375" s="49"/>
      <c r="AK375" s="44"/>
      <c r="AL375" s="44"/>
      <c r="AM375" s="44"/>
      <c r="AN375" s="44"/>
      <c r="AO375" s="44"/>
    </row>
    <row r="376" spans="35:41" ht="14.25" customHeight="1" x14ac:dyDescent="0.3">
      <c r="AI376" s="44"/>
      <c r="AJ376" s="49"/>
      <c r="AK376" s="44"/>
      <c r="AL376" s="44"/>
      <c r="AM376" s="44"/>
      <c r="AN376" s="44"/>
      <c r="AO376" s="44"/>
    </row>
    <row r="377" spans="35:41" ht="14.25" customHeight="1" x14ac:dyDescent="0.3">
      <c r="AI377" s="44"/>
      <c r="AJ377" s="49"/>
      <c r="AK377" s="44"/>
      <c r="AL377" s="44"/>
      <c r="AM377" s="44"/>
      <c r="AN377" s="44"/>
      <c r="AO377" s="44"/>
    </row>
    <row r="378" spans="35:41" ht="14.25" customHeight="1" x14ac:dyDescent="0.3">
      <c r="AI378" s="44"/>
      <c r="AJ378" s="49"/>
      <c r="AK378" s="44"/>
      <c r="AL378" s="44"/>
      <c r="AM378" s="44"/>
      <c r="AN378" s="44"/>
      <c r="AO378" s="44"/>
    </row>
    <row r="379" spans="35:41" ht="14.25" customHeight="1" x14ac:dyDescent="0.3">
      <c r="AI379" s="44"/>
      <c r="AJ379" s="49"/>
      <c r="AK379" s="44"/>
      <c r="AL379" s="44"/>
      <c r="AM379" s="44"/>
      <c r="AN379" s="44"/>
      <c r="AO379" s="44"/>
    </row>
    <row r="380" spans="35:41" ht="14.25" customHeight="1" x14ac:dyDescent="0.3">
      <c r="AI380" s="44"/>
      <c r="AJ380" s="49"/>
      <c r="AK380" s="44"/>
      <c r="AL380" s="44"/>
      <c r="AM380" s="44"/>
      <c r="AN380" s="44"/>
      <c r="AO380" s="44"/>
    </row>
    <row r="381" spans="35:41" ht="14.25" customHeight="1" x14ac:dyDescent="0.3">
      <c r="AI381" s="44"/>
      <c r="AJ381" s="49"/>
      <c r="AK381" s="44"/>
      <c r="AL381" s="44"/>
      <c r="AM381" s="44"/>
      <c r="AN381" s="44"/>
      <c r="AO381" s="44"/>
    </row>
    <row r="382" spans="35:41" ht="14.25" customHeight="1" x14ac:dyDescent="0.3">
      <c r="AI382" s="44"/>
      <c r="AJ382" s="49"/>
      <c r="AK382" s="44"/>
      <c r="AL382" s="44"/>
      <c r="AM382" s="44"/>
      <c r="AN382" s="44"/>
      <c r="AO382" s="44"/>
    </row>
    <row r="383" spans="35:41" ht="14.25" customHeight="1" x14ac:dyDescent="0.3">
      <c r="AI383" s="44"/>
      <c r="AJ383" s="49"/>
      <c r="AK383" s="44"/>
      <c r="AL383" s="44"/>
      <c r="AM383" s="44"/>
      <c r="AN383" s="44"/>
      <c r="AO383" s="44"/>
    </row>
    <row r="384" spans="35:41" ht="14.25" customHeight="1" x14ac:dyDescent="0.3">
      <c r="AI384" s="44"/>
      <c r="AJ384" s="49"/>
      <c r="AK384" s="44"/>
      <c r="AL384" s="44"/>
      <c r="AM384" s="44"/>
      <c r="AN384" s="44"/>
      <c r="AO384" s="44"/>
    </row>
    <row r="385" spans="35:41" ht="14.25" customHeight="1" x14ac:dyDescent="0.3">
      <c r="AI385" s="44"/>
      <c r="AJ385" s="49"/>
      <c r="AK385" s="44"/>
      <c r="AL385" s="44"/>
      <c r="AM385" s="44"/>
      <c r="AN385" s="44"/>
      <c r="AO385" s="44"/>
    </row>
    <row r="386" spans="35:41" ht="14.25" customHeight="1" x14ac:dyDescent="0.3">
      <c r="AI386" s="44"/>
      <c r="AJ386" s="49"/>
      <c r="AK386" s="44"/>
      <c r="AL386" s="44"/>
      <c r="AM386" s="44"/>
      <c r="AN386" s="44"/>
      <c r="AO386" s="44"/>
    </row>
    <row r="387" spans="35:41" ht="14.25" customHeight="1" x14ac:dyDescent="0.3">
      <c r="AI387" s="44"/>
      <c r="AJ387" s="49"/>
      <c r="AK387" s="44"/>
      <c r="AL387" s="44"/>
      <c r="AM387" s="44"/>
      <c r="AN387" s="44"/>
      <c r="AO387" s="44"/>
    </row>
    <row r="388" spans="35:41" ht="14.25" customHeight="1" x14ac:dyDescent="0.3">
      <c r="AI388" s="44"/>
      <c r="AJ388" s="49"/>
      <c r="AK388" s="44"/>
      <c r="AL388" s="44"/>
      <c r="AM388" s="44"/>
      <c r="AN388" s="44"/>
      <c r="AO388" s="44"/>
    </row>
    <row r="389" spans="35:41" ht="14.25" customHeight="1" x14ac:dyDescent="0.3">
      <c r="AI389" s="44"/>
      <c r="AJ389" s="49"/>
      <c r="AK389" s="44"/>
      <c r="AL389" s="44"/>
      <c r="AM389" s="44"/>
      <c r="AN389" s="44"/>
      <c r="AO389" s="44"/>
    </row>
    <row r="390" spans="35:41" ht="14.25" customHeight="1" x14ac:dyDescent="0.3">
      <c r="AI390" s="44"/>
      <c r="AJ390" s="49"/>
      <c r="AK390" s="44"/>
      <c r="AL390" s="44"/>
      <c r="AM390" s="44"/>
      <c r="AN390" s="44"/>
      <c r="AO390" s="44"/>
    </row>
    <row r="391" spans="35:41" ht="14.25" customHeight="1" x14ac:dyDescent="0.3">
      <c r="AI391" s="44"/>
      <c r="AJ391" s="49"/>
      <c r="AK391" s="44"/>
      <c r="AL391" s="44"/>
      <c r="AM391" s="44"/>
      <c r="AN391" s="44"/>
      <c r="AO391" s="44"/>
    </row>
    <row r="392" spans="35:41" ht="14.25" customHeight="1" x14ac:dyDescent="0.3">
      <c r="AI392" s="44"/>
      <c r="AJ392" s="49"/>
      <c r="AK392" s="44"/>
      <c r="AL392" s="44"/>
      <c r="AM392" s="44"/>
      <c r="AN392" s="44"/>
      <c r="AO392" s="44"/>
    </row>
    <row r="393" spans="35:41" ht="14.25" customHeight="1" x14ac:dyDescent="0.3">
      <c r="AI393" s="44"/>
      <c r="AJ393" s="49"/>
      <c r="AK393" s="44"/>
      <c r="AL393" s="44"/>
      <c r="AM393" s="44"/>
      <c r="AN393" s="44"/>
      <c r="AO393" s="44"/>
    </row>
    <row r="394" spans="35:41" ht="14.25" customHeight="1" x14ac:dyDescent="0.3">
      <c r="AI394" s="44"/>
      <c r="AJ394" s="49"/>
      <c r="AK394" s="44"/>
      <c r="AL394" s="44"/>
      <c r="AM394" s="44"/>
      <c r="AN394" s="44"/>
      <c r="AO394" s="44"/>
    </row>
    <row r="395" spans="35:41" ht="14.25" customHeight="1" x14ac:dyDescent="0.3">
      <c r="AI395" s="44"/>
      <c r="AJ395" s="49"/>
      <c r="AK395" s="44"/>
      <c r="AL395" s="44"/>
      <c r="AM395" s="44"/>
      <c r="AN395" s="44"/>
      <c r="AO395" s="44"/>
    </row>
    <row r="396" spans="35:41" ht="14.25" customHeight="1" x14ac:dyDescent="0.3">
      <c r="AI396" s="44"/>
      <c r="AJ396" s="49"/>
      <c r="AK396" s="44"/>
      <c r="AL396" s="44"/>
      <c r="AM396" s="44"/>
      <c r="AN396" s="44"/>
      <c r="AO396" s="44"/>
    </row>
    <row r="397" spans="35:41" ht="14.25" customHeight="1" x14ac:dyDescent="0.3">
      <c r="AI397" s="44"/>
      <c r="AJ397" s="49"/>
      <c r="AK397" s="44"/>
      <c r="AL397" s="44"/>
      <c r="AM397" s="44"/>
      <c r="AN397" s="44"/>
      <c r="AO397" s="44"/>
    </row>
    <row r="398" spans="35:41" ht="14.25" customHeight="1" x14ac:dyDescent="0.3">
      <c r="AI398" s="44"/>
      <c r="AJ398" s="49"/>
      <c r="AK398" s="44"/>
      <c r="AL398" s="44"/>
      <c r="AM398" s="44"/>
      <c r="AN398" s="44"/>
      <c r="AO398" s="44"/>
    </row>
    <row r="399" spans="35:41" ht="14.25" customHeight="1" x14ac:dyDescent="0.3">
      <c r="AI399" s="44"/>
      <c r="AJ399" s="49"/>
      <c r="AK399" s="44"/>
      <c r="AL399" s="44"/>
      <c r="AM399" s="44"/>
      <c r="AN399" s="44"/>
      <c r="AO399" s="44"/>
    </row>
    <row r="400" spans="35:41" ht="14.25" customHeight="1" x14ac:dyDescent="0.3">
      <c r="AI400" s="44"/>
      <c r="AJ400" s="49"/>
      <c r="AK400" s="44"/>
      <c r="AL400" s="44"/>
      <c r="AM400" s="44"/>
      <c r="AN400" s="44"/>
      <c r="AO400" s="44"/>
    </row>
    <row r="401" spans="35:41" ht="14.25" customHeight="1" x14ac:dyDescent="0.3">
      <c r="AI401" s="44"/>
      <c r="AJ401" s="49"/>
      <c r="AK401" s="44"/>
      <c r="AL401" s="44"/>
      <c r="AM401" s="44"/>
      <c r="AN401" s="44"/>
      <c r="AO401" s="44"/>
    </row>
    <row r="402" spans="35:41" ht="14.25" customHeight="1" x14ac:dyDescent="0.3">
      <c r="AI402" s="44"/>
      <c r="AJ402" s="49"/>
      <c r="AK402" s="44"/>
      <c r="AL402" s="44"/>
      <c r="AM402" s="44"/>
      <c r="AN402" s="44"/>
      <c r="AO402" s="44"/>
    </row>
    <row r="403" spans="35:41" ht="14.25" customHeight="1" x14ac:dyDescent="0.3">
      <c r="AI403" s="44"/>
      <c r="AJ403" s="49"/>
      <c r="AK403" s="44"/>
      <c r="AL403" s="44"/>
      <c r="AM403" s="44"/>
      <c r="AN403" s="44"/>
      <c r="AO403" s="44"/>
    </row>
    <row r="404" spans="35:41" ht="14.25" customHeight="1" x14ac:dyDescent="0.3">
      <c r="AI404" s="44"/>
      <c r="AJ404" s="49"/>
      <c r="AK404" s="44"/>
      <c r="AL404" s="44"/>
      <c r="AM404" s="44"/>
      <c r="AN404" s="44"/>
      <c r="AO404" s="44"/>
    </row>
    <row r="405" spans="35:41" ht="14.25" customHeight="1" x14ac:dyDescent="0.3">
      <c r="AI405" s="44"/>
      <c r="AJ405" s="49"/>
      <c r="AK405" s="44"/>
      <c r="AL405" s="44"/>
      <c r="AM405" s="44"/>
      <c r="AN405" s="44"/>
      <c r="AO405" s="44"/>
    </row>
    <row r="406" spans="35:41" ht="14.25" customHeight="1" x14ac:dyDescent="0.3">
      <c r="AI406" s="44"/>
      <c r="AJ406" s="49"/>
      <c r="AK406" s="44"/>
      <c r="AL406" s="44"/>
      <c r="AM406" s="44"/>
      <c r="AN406" s="44"/>
      <c r="AO406" s="44"/>
    </row>
    <row r="407" spans="35:41" ht="14.25" customHeight="1" x14ac:dyDescent="0.3">
      <c r="AI407" s="44"/>
      <c r="AJ407" s="49"/>
      <c r="AK407" s="44"/>
      <c r="AL407" s="44"/>
      <c r="AM407" s="44"/>
      <c r="AN407" s="44"/>
      <c r="AO407" s="44"/>
    </row>
    <row r="408" spans="35:41" ht="14.25" customHeight="1" x14ac:dyDescent="0.3">
      <c r="AI408" s="44"/>
      <c r="AJ408" s="49"/>
      <c r="AK408" s="44"/>
      <c r="AL408" s="44"/>
      <c r="AM408" s="44"/>
      <c r="AN408" s="44"/>
      <c r="AO408" s="44"/>
    </row>
    <row r="409" spans="35:41" ht="14.25" customHeight="1" x14ac:dyDescent="0.3">
      <c r="AI409" s="44"/>
      <c r="AJ409" s="49"/>
      <c r="AK409" s="44"/>
      <c r="AL409" s="44"/>
      <c r="AM409" s="44"/>
      <c r="AN409" s="44"/>
      <c r="AO409" s="44"/>
    </row>
    <row r="410" spans="35:41" ht="14.25" customHeight="1" x14ac:dyDescent="0.3">
      <c r="AI410" s="44"/>
      <c r="AJ410" s="49"/>
      <c r="AK410" s="44"/>
      <c r="AL410" s="44"/>
      <c r="AM410" s="44"/>
      <c r="AN410" s="44"/>
      <c r="AO410" s="44"/>
    </row>
    <row r="411" spans="35:41" ht="14.25" customHeight="1" x14ac:dyDescent="0.3">
      <c r="AI411" s="44"/>
      <c r="AJ411" s="49"/>
      <c r="AK411" s="44"/>
      <c r="AL411" s="44"/>
      <c r="AM411" s="44"/>
      <c r="AN411" s="44"/>
      <c r="AO411" s="44"/>
    </row>
    <row r="412" spans="35:41" ht="14.25" customHeight="1" x14ac:dyDescent="0.3">
      <c r="AI412" s="44"/>
      <c r="AJ412" s="49"/>
      <c r="AK412" s="44"/>
      <c r="AL412" s="44"/>
      <c r="AM412" s="44"/>
      <c r="AN412" s="44"/>
      <c r="AO412" s="44"/>
    </row>
    <row r="413" spans="35:41" ht="14.25" customHeight="1" x14ac:dyDescent="0.3">
      <c r="AI413" s="44"/>
      <c r="AJ413" s="49"/>
      <c r="AK413" s="44"/>
      <c r="AL413" s="44"/>
      <c r="AM413" s="44"/>
      <c r="AN413" s="44"/>
      <c r="AO413" s="44"/>
    </row>
    <row r="414" spans="35:41" ht="14.25" customHeight="1" x14ac:dyDescent="0.3">
      <c r="AI414" s="44"/>
      <c r="AJ414" s="49"/>
      <c r="AK414" s="44"/>
      <c r="AL414" s="44"/>
      <c r="AM414" s="44"/>
      <c r="AN414" s="44"/>
      <c r="AO414" s="44"/>
    </row>
    <row r="415" spans="35:41" ht="14.25" customHeight="1" x14ac:dyDescent="0.3">
      <c r="AI415" s="44"/>
      <c r="AJ415" s="49"/>
      <c r="AK415" s="44"/>
      <c r="AL415" s="44"/>
      <c r="AM415" s="44"/>
      <c r="AN415" s="44"/>
      <c r="AO415" s="44"/>
    </row>
    <row r="416" spans="35:41" ht="14.25" customHeight="1" x14ac:dyDescent="0.3">
      <c r="AI416" s="44"/>
      <c r="AJ416" s="49"/>
      <c r="AK416" s="44"/>
      <c r="AL416" s="44"/>
      <c r="AM416" s="44"/>
      <c r="AN416" s="44"/>
      <c r="AO416" s="44"/>
    </row>
    <row r="417" spans="35:41" ht="14.25" customHeight="1" x14ac:dyDescent="0.3">
      <c r="AI417" s="44"/>
      <c r="AJ417" s="49"/>
      <c r="AK417" s="44"/>
      <c r="AL417" s="44"/>
      <c r="AM417" s="44"/>
      <c r="AN417" s="44"/>
      <c r="AO417" s="44"/>
    </row>
    <row r="418" spans="35:41" ht="14.25" customHeight="1" x14ac:dyDescent="0.3">
      <c r="AI418" s="44"/>
      <c r="AJ418" s="49"/>
      <c r="AK418" s="44"/>
      <c r="AL418" s="44"/>
      <c r="AM418" s="44"/>
      <c r="AN418" s="44"/>
      <c r="AO418" s="44"/>
    </row>
    <row r="419" spans="35:41" ht="14.25" customHeight="1" x14ac:dyDescent="0.3">
      <c r="AI419" s="44"/>
      <c r="AJ419" s="49"/>
      <c r="AK419" s="44"/>
      <c r="AL419" s="44"/>
      <c r="AM419" s="44"/>
      <c r="AN419" s="44"/>
      <c r="AO419" s="44"/>
    </row>
    <row r="420" spans="35:41" ht="14.25" customHeight="1" x14ac:dyDescent="0.3">
      <c r="AI420" s="44"/>
      <c r="AJ420" s="49"/>
      <c r="AK420" s="44"/>
      <c r="AL420" s="44"/>
      <c r="AM420" s="44"/>
      <c r="AN420" s="44"/>
      <c r="AO420" s="44"/>
    </row>
    <row r="421" spans="35:41" ht="14.25" customHeight="1" x14ac:dyDescent="0.3">
      <c r="AI421" s="44"/>
      <c r="AJ421" s="49"/>
      <c r="AK421" s="44"/>
      <c r="AL421" s="44"/>
      <c r="AM421" s="44"/>
      <c r="AN421" s="44"/>
      <c r="AO421" s="44"/>
    </row>
    <row r="422" spans="35:41" ht="14.25" customHeight="1" x14ac:dyDescent="0.3">
      <c r="AI422" s="44"/>
      <c r="AJ422" s="49"/>
      <c r="AK422" s="44"/>
      <c r="AL422" s="44"/>
      <c r="AM422" s="44"/>
      <c r="AN422" s="44"/>
      <c r="AO422" s="44"/>
    </row>
    <row r="423" spans="35:41" ht="14.25" customHeight="1" x14ac:dyDescent="0.3">
      <c r="AI423" s="44"/>
      <c r="AJ423" s="49"/>
      <c r="AK423" s="44"/>
      <c r="AL423" s="44"/>
      <c r="AM423" s="44"/>
      <c r="AN423" s="44"/>
      <c r="AO423" s="44"/>
    </row>
    <row r="424" spans="35:41" ht="14.25" customHeight="1" x14ac:dyDescent="0.3">
      <c r="AI424" s="44"/>
      <c r="AJ424" s="49"/>
      <c r="AK424" s="44"/>
      <c r="AL424" s="44"/>
      <c r="AM424" s="44"/>
      <c r="AN424" s="44"/>
      <c r="AO424" s="44"/>
    </row>
    <row r="425" spans="35:41" ht="14.25" customHeight="1" x14ac:dyDescent="0.3">
      <c r="AI425" s="44"/>
      <c r="AJ425" s="49"/>
      <c r="AK425" s="44"/>
      <c r="AL425" s="44"/>
      <c r="AM425" s="44"/>
      <c r="AN425" s="44"/>
      <c r="AO425" s="44"/>
    </row>
    <row r="426" spans="35:41" ht="14.25" customHeight="1" x14ac:dyDescent="0.3">
      <c r="AI426" s="44"/>
      <c r="AJ426" s="49"/>
      <c r="AK426" s="44"/>
      <c r="AL426" s="44"/>
      <c r="AM426" s="44"/>
      <c r="AN426" s="44"/>
      <c r="AO426" s="44"/>
    </row>
    <row r="427" spans="35:41" ht="14.25" customHeight="1" x14ac:dyDescent="0.3">
      <c r="AI427" s="44"/>
      <c r="AJ427" s="49"/>
      <c r="AK427" s="44"/>
      <c r="AL427" s="44"/>
      <c r="AM427" s="44"/>
      <c r="AN427" s="44"/>
      <c r="AO427" s="44"/>
    </row>
    <row r="428" spans="35:41" ht="14.25" customHeight="1" x14ac:dyDescent="0.3">
      <c r="AI428" s="44"/>
      <c r="AJ428" s="49"/>
      <c r="AK428" s="44"/>
      <c r="AL428" s="44"/>
      <c r="AM428" s="44"/>
      <c r="AN428" s="44"/>
      <c r="AO428" s="44"/>
    </row>
    <row r="429" spans="35:41" ht="14.25" customHeight="1" x14ac:dyDescent="0.3">
      <c r="AI429" s="44"/>
      <c r="AJ429" s="49"/>
      <c r="AK429" s="44"/>
      <c r="AL429" s="44"/>
      <c r="AM429" s="44"/>
      <c r="AN429" s="44"/>
      <c r="AO429" s="44"/>
    </row>
    <row r="430" spans="35:41" ht="14.25" customHeight="1" x14ac:dyDescent="0.3">
      <c r="AI430" s="44"/>
      <c r="AJ430" s="49"/>
      <c r="AK430" s="44"/>
      <c r="AL430" s="44"/>
      <c r="AM430" s="44"/>
      <c r="AN430" s="44"/>
      <c r="AO430" s="44"/>
    </row>
    <row r="431" spans="35:41" ht="14.25" customHeight="1" x14ac:dyDescent="0.3">
      <c r="AI431" s="44"/>
      <c r="AJ431" s="49"/>
      <c r="AK431" s="44"/>
      <c r="AL431" s="44"/>
      <c r="AM431" s="44"/>
      <c r="AN431" s="44"/>
      <c r="AO431" s="44"/>
    </row>
    <row r="432" spans="35:41" ht="14.25" customHeight="1" x14ac:dyDescent="0.3">
      <c r="AI432" s="44"/>
      <c r="AJ432" s="49"/>
      <c r="AK432" s="44"/>
      <c r="AL432" s="44"/>
      <c r="AM432" s="44"/>
      <c r="AN432" s="44"/>
      <c r="AO432" s="44"/>
    </row>
    <row r="433" spans="35:41" ht="14.25" customHeight="1" x14ac:dyDescent="0.3">
      <c r="AI433" s="44"/>
      <c r="AJ433" s="49"/>
      <c r="AK433" s="44"/>
      <c r="AL433" s="44"/>
      <c r="AM433" s="44"/>
      <c r="AN433" s="44"/>
      <c r="AO433" s="44"/>
    </row>
    <row r="434" spans="35:41" ht="14.25" customHeight="1" x14ac:dyDescent="0.3">
      <c r="AI434" s="44"/>
      <c r="AJ434" s="49"/>
      <c r="AK434" s="44"/>
      <c r="AL434" s="44"/>
      <c r="AM434" s="44"/>
      <c r="AN434" s="44"/>
      <c r="AO434" s="44"/>
    </row>
    <row r="435" spans="35:41" ht="14.25" customHeight="1" x14ac:dyDescent="0.3">
      <c r="AI435" s="44"/>
      <c r="AJ435" s="49"/>
      <c r="AK435" s="44"/>
      <c r="AL435" s="44"/>
      <c r="AM435" s="44"/>
      <c r="AN435" s="44"/>
      <c r="AO435" s="44"/>
    </row>
    <row r="436" spans="35:41" ht="14.25" customHeight="1" x14ac:dyDescent="0.3">
      <c r="AI436" s="44"/>
      <c r="AJ436" s="49"/>
      <c r="AK436" s="44"/>
      <c r="AL436" s="44"/>
      <c r="AM436" s="44"/>
      <c r="AN436" s="44"/>
      <c r="AO436" s="44"/>
    </row>
    <row r="437" spans="35:41" ht="14.25" customHeight="1" x14ac:dyDescent="0.3">
      <c r="AI437" s="44"/>
      <c r="AJ437" s="49"/>
      <c r="AK437" s="44"/>
      <c r="AL437" s="44"/>
      <c r="AM437" s="44"/>
      <c r="AN437" s="44"/>
      <c r="AO437" s="44"/>
    </row>
    <row r="438" spans="35:41" ht="14.25" customHeight="1" x14ac:dyDescent="0.3">
      <c r="AI438" s="44"/>
      <c r="AJ438" s="49"/>
      <c r="AK438" s="44"/>
      <c r="AL438" s="44"/>
      <c r="AM438" s="44"/>
      <c r="AN438" s="44"/>
      <c r="AO438" s="44"/>
    </row>
    <row r="439" spans="35:41" ht="14.25" customHeight="1" x14ac:dyDescent="0.3">
      <c r="AI439" s="44"/>
      <c r="AJ439" s="49"/>
      <c r="AK439" s="44"/>
      <c r="AL439" s="44"/>
      <c r="AM439" s="44"/>
      <c r="AN439" s="44"/>
      <c r="AO439" s="44"/>
    </row>
    <row r="440" spans="35:41" ht="14.25" customHeight="1" x14ac:dyDescent="0.3">
      <c r="AI440" s="44"/>
      <c r="AJ440" s="49"/>
      <c r="AK440" s="44"/>
      <c r="AL440" s="44"/>
      <c r="AM440" s="44"/>
      <c r="AN440" s="44"/>
      <c r="AO440" s="44"/>
    </row>
    <row r="441" spans="35:41" ht="14.25" customHeight="1" x14ac:dyDescent="0.3">
      <c r="AI441" s="44"/>
      <c r="AJ441" s="49"/>
      <c r="AK441" s="44"/>
      <c r="AL441" s="44"/>
      <c r="AM441" s="44"/>
      <c r="AN441" s="44"/>
      <c r="AO441" s="44"/>
    </row>
    <row r="442" spans="35:41" ht="14.25" customHeight="1" x14ac:dyDescent="0.3">
      <c r="AI442" s="44"/>
      <c r="AJ442" s="49"/>
      <c r="AK442" s="44"/>
      <c r="AL442" s="44"/>
      <c r="AM442" s="44"/>
      <c r="AN442" s="44"/>
      <c r="AO442" s="44"/>
    </row>
    <row r="443" spans="35:41" ht="14.25" customHeight="1" x14ac:dyDescent="0.3">
      <c r="AI443" s="44"/>
      <c r="AJ443" s="49"/>
      <c r="AK443" s="44"/>
      <c r="AL443" s="44"/>
      <c r="AM443" s="44"/>
      <c r="AN443" s="44"/>
      <c r="AO443" s="44"/>
    </row>
    <row r="444" spans="35:41" ht="14.25" customHeight="1" x14ac:dyDescent="0.3">
      <c r="AI444" s="44"/>
      <c r="AJ444" s="49"/>
      <c r="AK444" s="44"/>
      <c r="AL444" s="44"/>
      <c r="AM444" s="44"/>
      <c r="AN444" s="44"/>
      <c r="AO444" s="44"/>
    </row>
    <row r="445" spans="35:41" ht="14.25" customHeight="1" x14ac:dyDescent="0.3">
      <c r="AI445" s="44"/>
      <c r="AJ445" s="49"/>
      <c r="AK445" s="44"/>
      <c r="AL445" s="44"/>
      <c r="AM445" s="44"/>
      <c r="AN445" s="44"/>
      <c r="AO445" s="44"/>
    </row>
    <row r="446" spans="35:41" ht="14.25" customHeight="1" x14ac:dyDescent="0.3">
      <c r="AI446" s="44"/>
      <c r="AJ446" s="49"/>
      <c r="AK446" s="44"/>
      <c r="AL446" s="44"/>
      <c r="AM446" s="44"/>
      <c r="AN446" s="44"/>
      <c r="AO446" s="44"/>
    </row>
    <row r="447" spans="35:41" ht="14.25" customHeight="1" x14ac:dyDescent="0.3">
      <c r="AI447" s="44"/>
      <c r="AJ447" s="49"/>
      <c r="AK447" s="44"/>
      <c r="AL447" s="44"/>
      <c r="AM447" s="44"/>
      <c r="AN447" s="44"/>
      <c r="AO447" s="44"/>
    </row>
    <row r="448" spans="35:41" ht="14.25" customHeight="1" x14ac:dyDescent="0.3">
      <c r="AI448" s="44"/>
      <c r="AJ448" s="49"/>
      <c r="AK448" s="44"/>
      <c r="AL448" s="44"/>
      <c r="AM448" s="44"/>
      <c r="AN448" s="44"/>
      <c r="AO448" s="44"/>
    </row>
    <row r="449" spans="35:41" ht="14.25" customHeight="1" x14ac:dyDescent="0.3">
      <c r="AI449" s="44"/>
      <c r="AJ449" s="49"/>
      <c r="AK449" s="44"/>
      <c r="AL449" s="44"/>
      <c r="AM449" s="44"/>
      <c r="AN449" s="44"/>
      <c r="AO449" s="44"/>
    </row>
    <row r="450" spans="35:41" ht="14.25" customHeight="1" x14ac:dyDescent="0.3">
      <c r="AI450" s="44"/>
      <c r="AJ450" s="49"/>
      <c r="AK450" s="44"/>
      <c r="AL450" s="44"/>
      <c r="AM450" s="44"/>
      <c r="AN450" s="44"/>
      <c r="AO450" s="44"/>
    </row>
    <row r="451" spans="35:41" ht="14.25" customHeight="1" x14ac:dyDescent="0.3">
      <c r="AI451" s="44"/>
      <c r="AJ451" s="49"/>
      <c r="AK451" s="44"/>
      <c r="AL451" s="44"/>
      <c r="AM451" s="44"/>
      <c r="AN451" s="44"/>
      <c r="AO451" s="44"/>
    </row>
    <row r="452" spans="35:41" ht="14.25" customHeight="1" x14ac:dyDescent="0.3">
      <c r="AI452" s="44"/>
      <c r="AJ452" s="49"/>
      <c r="AK452" s="44"/>
      <c r="AL452" s="44"/>
      <c r="AM452" s="44"/>
      <c r="AN452" s="44"/>
      <c r="AO452" s="44"/>
    </row>
    <row r="453" spans="35:41" ht="14.25" customHeight="1" x14ac:dyDescent="0.3">
      <c r="AI453" s="44"/>
      <c r="AJ453" s="49"/>
      <c r="AK453" s="44"/>
      <c r="AL453" s="44"/>
      <c r="AM453" s="44"/>
      <c r="AN453" s="44"/>
      <c r="AO453" s="44"/>
    </row>
    <row r="454" spans="35:41" ht="14.25" customHeight="1" x14ac:dyDescent="0.3">
      <c r="AI454" s="44"/>
      <c r="AJ454" s="49"/>
      <c r="AK454" s="44"/>
      <c r="AL454" s="44"/>
      <c r="AM454" s="44"/>
      <c r="AN454" s="44"/>
      <c r="AO454" s="44"/>
    </row>
    <row r="455" spans="35:41" ht="14.25" customHeight="1" x14ac:dyDescent="0.3">
      <c r="AI455" s="44"/>
      <c r="AJ455" s="49"/>
      <c r="AK455" s="44"/>
      <c r="AL455" s="44"/>
      <c r="AM455" s="44"/>
      <c r="AN455" s="44"/>
      <c r="AO455" s="44"/>
    </row>
    <row r="456" spans="35:41" ht="14.25" customHeight="1" x14ac:dyDescent="0.3">
      <c r="AI456" s="44"/>
      <c r="AJ456" s="49"/>
      <c r="AK456" s="44"/>
      <c r="AL456" s="44"/>
      <c r="AM456" s="44"/>
      <c r="AN456" s="44"/>
      <c r="AO456" s="44"/>
    </row>
    <row r="457" spans="35:41" ht="14.25" customHeight="1" x14ac:dyDescent="0.3">
      <c r="AI457" s="44"/>
      <c r="AJ457" s="49"/>
      <c r="AK457" s="44"/>
      <c r="AL457" s="44"/>
      <c r="AM457" s="44"/>
      <c r="AN457" s="44"/>
      <c r="AO457" s="44"/>
    </row>
    <row r="458" spans="35:41" ht="14.25" customHeight="1" x14ac:dyDescent="0.3">
      <c r="AI458" s="44"/>
      <c r="AJ458" s="49"/>
      <c r="AK458" s="44"/>
      <c r="AL458" s="44"/>
      <c r="AM458" s="44"/>
      <c r="AN458" s="44"/>
      <c r="AO458" s="44"/>
    </row>
    <row r="459" spans="35:41" ht="14.25" customHeight="1" x14ac:dyDescent="0.3">
      <c r="AI459" s="44"/>
      <c r="AJ459" s="49"/>
      <c r="AK459" s="44"/>
      <c r="AL459" s="44"/>
      <c r="AM459" s="44"/>
      <c r="AN459" s="44"/>
      <c r="AO459" s="44"/>
    </row>
    <row r="460" spans="35:41" ht="14.25" customHeight="1" x14ac:dyDescent="0.3">
      <c r="AI460" s="44"/>
      <c r="AJ460" s="49"/>
      <c r="AK460" s="44"/>
      <c r="AL460" s="44"/>
      <c r="AM460" s="44"/>
      <c r="AN460" s="44"/>
      <c r="AO460" s="44"/>
    </row>
    <row r="461" spans="35:41" ht="14.25" customHeight="1" x14ac:dyDescent="0.3">
      <c r="AI461" s="44"/>
      <c r="AJ461" s="49"/>
      <c r="AK461" s="44"/>
      <c r="AL461" s="44"/>
      <c r="AM461" s="44"/>
      <c r="AN461" s="44"/>
      <c r="AO461" s="44"/>
    </row>
    <row r="462" spans="35:41" ht="14.25" customHeight="1" x14ac:dyDescent="0.3">
      <c r="AI462" s="44"/>
      <c r="AJ462" s="49"/>
      <c r="AK462" s="44"/>
      <c r="AL462" s="44"/>
      <c r="AM462" s="44"/>
      <c r="AN462" s="44"/>
      <c r="AO462" s="44"/>
    </row>
    <row r="463" spans="35:41" ht="14.25" customHeight="1" x14ac:dyDescent="0.3">
      <c r="AI463" s="44"/>
      <c r="AJ463" s="49"/>
      <c r="AK463" s="44"/>
      <c r="AL463" s="44"/>
      <c r="AM463" s="44"/>
      <c r="AN463" s="44"/>
      <c r="AO463" s="44"/>
    </row>
    <row r="464" spans="35:41" ht="14.25" customHeight="1" x14ac:dyDescent="0.3">
      <c r="AI464" s="44"/>
      <c r="AJ464" s="49"/>
      <c r="AK464" s="44"/>
      <c r="AL464" s="44"/>
      <c r="AM464" s="44"/>
      <c r="AN464" s="44"/>
      <c r="AO464" s="44"/>
    </row>
    <row r="465" spans="35:41" ht="14.25" customHeight="1" x14ac:dyDescent="0.3">
      <c r="AI465" s="44"/>
      <c r="AJ465" s="49"/>
      <c r="AK465" s="44"/>
      <c r="AL465" s="44"/>
      <c r="AM465" s="44"/>
      <c r="AN465" s="44"/>
      <c r="AO465" s="44"/>
    </row>
    <row r="466" spans="35:41" ht="14.25" customHeight="1" x14ac:dyDescent="0.3">
      <c r="AI466" s="44"/>
      <c r="AJ466" s="49"/>
      <c r="AK466" s="44"/>
      <c r="AL466" s="44"/>
      <c r="AM466" s="44"/>
      <c r="AN466" s="44"/>
      <c r="AO466" s="44"/>
    </row>
    <row r="467" spans="35:41" ht="14.25" customHeight="1" x14ac:dyDescent="0.3">
      <c r="AI467" s="44"/>
      <c r="AJ467" s="49"/>
      <c r="AK467" s="44"/>
      <c r="AL467" s="44"/>
      <c r="AM467" s="44"/>
      <c r="AN467" s="44"/>
      <c r="AO467" s="44"/>
    </row>
    <row r="468" spans="35:41" ht="14.25" customHeight="1" x14ac:dyDescent="0.3">
      <c r="AI468" s="44"/>
      <c r="AJ468" s="49"/>
      <c r="AK468" s="44"/>
      <c r="AL468" s="44"/>
      <c r="AM468" s="44"/>
      <c r="AN468" s="44"/>
      <c r="AO468" s="44"/>
    </row>
    <row r="469" spans="35:41" ht="14.25" customHeight="1" x14ac:dyDescent="0.3">
      <c r="AI469" s="44"/>
      <c r="AJ469" s="49"/>
      <c r="AK469" s="44"/>
      <c r="AL469" s="44"/>
      <c r="AM469" s="44"/>
      <c r="AN469" s="44"/>
      <c r="AO469" s="44"/>
    </row>
    <row r="470" spans="35:41" ht="14.25" customHeight="1" x14ac:dyDescent="0.3">
      <c r="AI470" s="44"/>
      <c r="AJ470" s="49"/>
      <c r="AK470" s="44"/>
      <c r="AL470" s="44"/>
      <c r="AM470" s="44"/>
      <c r="AN470" s="44"/>
      <c r="AO470" s="44"/>
    </row>
    <row r="471" spans="35:41" ht="14.25" customHeight="1" x14ac:dyDescent="0.3">
      <c r="AI471" s="44"/>
      <c r="AJ471" s="49"/>
      <c r="AK471" s="44"/>
      <c r="AL471" s="44"/>
      <c r="AM471" s="44"/>
      <c r="AN471" s="44"/>
      <c r="AO471" s="44"/>
    </row>
    <row r="472" spans="35:41" ht="14.25" customHeight="1" x14ac:dyDescent="0.3">
      <c r="AI472" s="44"/>
      <c r="AJ472" s="49"/>
      <c r="AK472" s="44"/>
      <c r="AL472" s="44"/>
      <c r="AM472" s="44"/>
      <c r="AN472" s="44"/>
      <c r="AO472" s="44"/>
    </row>
    <row r="473" spans="35:41" ht="14.25" customHeight="1" x14ac:dyDescent="0.3">
      <c r="AI473" s="44"/>
      <c r="AJ473" s="49"/>
      <c r="AK473" s="44"/>
      <c r="AL473" s="44"/>
      <c r="AM473" s="44"/>
      <c r="AN473" s="44"/>
      <c r="AO473" s="44"/>
    </row>
    <row r="474" spans="35:41" ht="14.25" customHeight="1" x14ac:dyDescent="0.3">
      <c r="AI474" s="44"/>
      <c r="AJ474" s="49"/>
      <c r="AK474" s="44"/>
      <c r="AL474" s="44"/>
      <c r="AM474" s="44"/>
      <c r="AN474" s="44"/>
      <c r="AO474" s="44"/>
    </row>
    <row r="475" spans="35:41" ht="14.25" customHeight="1" x14ac:dyDescent="0.3">
      <c r="AI475" s="44"/>
      <c r="AJ475" s="49"/>
      <c r="AK475" s="44"/>
      <c r="AL475" s="44"/>
      <c r="AM475" s="44"/>
      <c r="AN475" s="44"/>
      <c r="AO475" s="44"/>
    </row>
    <row r="476" spans="35:41" ht="14.25" customHeight="1" x14ac:dyDescent="0.3">
      <c r="AI476" s="44"/>
      <c r="AJ476" s="49"/>
      <c r="AK476" s="44"/>
      <c r="AL476" s="44"/>
      <c r="AM476" s="44"/>
      <c r="AN476" s="44"/>
      <c r="AO476" s="44"/>
    </row>
    <row r="477" spans="35:41" ht="14.25" customHeight="1" x14ac:dyDescent="0.3">
      <c r="AI477" s="44"/>
      <c r="AJ477" s="49"/>
      <c r="AK477" s="44"/>
      <c r="AL477" s="44"/>
      <c r="AM477" s="44"/>
      <c r="AN477" s="44"/>
      <c r="AO477" s="44"/>
    </row>
    <row r="478" spans="35:41" ht="14.25" customHeight="1" x14ac:dyDescent="0.3">
      <c r="AI478" s="44"/>
      <c r="AJ478" s="49"/>
      <c r="AK478" s="44"/>
      <c r="AL478" s="44"/>
      <c r="AM478" s="44"/>
      <c r="AN478" s="44"/>
      <c r="AO478" s="44"/>
    </row>
    <row r="479" spans="35:41" ht="14.25" customHeight="1" x14ac:dyDescent="0.3">
      <c r="AI479" s="44"/>
      <c r="AJ479" s="49"/>
      <c r="AK479" s="44"/>
      <c r="AL479" s="44"/>
      <c r="AM479" s="44"/>
      <c r="AN479" s="44"/>
      <c r="AO479" s="44"/>
    </row>
    <row r="480" spans="35:41" ht="14.25" customHeight="1" x14ac:dyDescent="0.3">
      <c r="AI480" s="44"/>
      <c r="AJ480" s="49"/>
      <c r="AK480" s="44"/>
      <c r="AL480" s="44"/>
      <c r="AM480" s="44"/>
      <c r="AN480" s="44"/>
      <c r="AO480" s="44"/>
    </row>
    <row r="481" spans="35:41" ht="14.25" customHeight="1" x14ac:dyDescent="0.3">
      <c r="AI481" s="44"/>
      <c r="AJ481" s="49"/>
      <c r="AK481" s="44"/>
      <c r="AL481" s="44"/>
      <c r="AM481" s="44"/>
      <c r="AN481" s="44"/>
      <c r="AO481" s="44"/>
    </row>
    <row r="482" spans="35:41" ht="14.25" customHeight="1" x14ac:dyDescent="0.3">
      <c r="AI482" s="44"/>
      <c r="AJ482" s="49"/>
      <c r="AK482" s="44"/>
      <c r="AL482" s="44"/>
      <c r="AM482" s="44"/>
      <c r="AN482" s="44"/>
      <c r="AO482" s="44"/>
    </row>
    <row r="483" spans="35:41" ht="14.25" customHeight="1" x14ac:dyDescent="0.3">
      <c r="AI483" s="44"/>
      <c r="AJ483" s="49"/>
      <c r="AK483" s="44"/>
      <c r="AL483" s="44"/>
      <c r="AM483" s="44"/>
      <c r="AN483" s="44"/>
      <c r="AO483" s="44"/>
    </row>
    <row r="484" spans="35:41" ht="14.25" customHeight="1" x14ac:dyDescent="0.3">
      <c r="AI484" s="44"/>
      <c r="AJ484" s="49"/>
      <c r="AK484" s="44"/>
      <c r="AL484" s="44"/>
      <c r="AM484" s="44"/>
      <c r="AN484" s="44"/>
      <c r="AO484" s="44"/>
    </row>
    <row r="485" spans="35:41" ht="14.25" customHeight="1" x14ac:dyDescent="0.3">
      <c r="AI485" s="44"/>
      <c r="AJ485" s="49"/>
      <c r="AK485" s="44"/>
      <c r="AL485" s="44"/>
      <c r="AM485" s="44"/>
      <c r="AN485" s="44"/>
      <c r="AO485" s="44"/>
    </row>
    <row r="486" spans="35:41" ht="14.25" customHeight="1" x14ac:dyDescent="0.3">
      <c r="AI486" s="44"/>
      <c r="AJ486" s="49"/>
      <c r="AK486" s="44"/>
      <c r="AL486" s="44"/>
      <c r="AM486" s="44"/>
      <c r="AN486" s="44"/>
      <c r="AO486" s="44"/>
    </row>
    <row r="487" spans="35:41" ht="14.25" customHeight="1" x14ac:dyDescent="0.3">
      <c r="AI487" s="44"/>
      <c r="AJ487" s="49"/>
      <c r="AK487" s="44"/>
      <c r="AL487" s="44"/>
      <c r="AM487" s="44"/>
      <c r="AN487" s="44"/>
      <c r="AO487" s="44"/>
    </row>
    <row r="488" spans="35:41" ht="14.25" customHeight="1" x14ac:dyDescent="0.3">
      <c r="AI488" s="44"/>
      <c r="AJ488" s="49"/>
      <c r="AK488" s="44"/>
      <c r="AL488" s="44"/>
      <c r="AM488" s="44"/>
      <c r="AN488" s="44"/>
      <c r="AO488" s="44"/>
    </row>
    <row r="489" spans="35:41" ht="14.25" customHeight="1" x14ac:dyDescent="0.3">
      <c r="AI489" s="44"/>
      <c r="AJ489" s="49"/>
      <c r="AK489" s="44"/>
      <c r="AL489" s="44"/>
      <c r="AM489" s="44"/>
      <c r="AN489" s="44"/>
      <c r="AO489" s="44"/>
    </row>
    <row r="490" spans="35:41" ht="14.25" customHeight="1" x14ac:dyDescent="0.3">
      <c r="AI490" s="44"/>
      <c r="AJ490" s="49"/>
      <c r="AK490" s="44"/>
      <c r="AL490" s="44"/>
      <c r="AM490" s="44"/>
      <c r="AN490" s="44"/>
      <c r="AO490" s="44"/>
    </row>
    <row r="491" spans="35:41" ht="14.25" customHeight="1" x14ac:dyDescent="0.3">
      <c r="AI491" s="44"/>
      <c r="AJ491" s="49"/>
      <c r="AK491" s="44"/>
      <c r="AL491" s="44"/>
      <c r="AM491" s="44"/>
      <c r="AN491" s="44"/>
      <c r="AO491" s="44"/>
    </row>
    <row r="492" spans="35:41" ht="14.25" customHeight="1" x14ac:dyDescent="0.3">
      <c r="AI492" s="44"/>
      <c r="AJ492" s="49"/>
      <c r="AK492" s="44"/>
      <c r="AL492" s="44"/>
      <c r="AM492" s="44"/>
      <c r="AN492" s="44"/>
      <c r="AO492" s="44"/>
    </row>
    <row r="493" spans="35:41" ht="14.25" customHeight="1" x14ac:dyDescent="0.3">
      <c r="AI493" s="44"/>
      <c r="AJ493" s="49"/>
      <c r="AK493" s="44"/>
      <c r="AL493" s="44"/>
      <c r="AM493" s="44"/>
      <c r="AN493" s="44"/>
      <c r="AO493" s="44"/>
    </row>
    <row r="494" spans="35:41" ht="14.25" customHeight="1" x14ac:dyDescent="0.3">
      <c r="AI494" s="44"/>
      <c r="AJ494" s="49"/>
      <c r="AK494" s="44"/>
      <c r="AL494" s="44"/>
      <c r="AM494" s="44"/>
      <c r="AN494" s="44"/>
      <c r="AO494" s="44"/>
    </row>
    <row r="495" spans="35:41" ht="14.25" customHeight="1" x14ac:dyDescent="0.3">
      <c r="AI495" s="44"/>
      <c r="AJ495" s="49"/>
      <c r="AK495" s="44"/>
      <c r="AL495" s="44"/>
      <c r="AM495" s="44"/>
      <c r="AN495" s="44"/>
      <c r="AO495" s="44"/>
    </row>
    <row r="496" spans="35:41" ht="14.25" customHeight="1" x14ac:dyDescent="0.3">
      <c r="AI496" s="44"/>
      <c r="AJ496" s="49"/>
      <c r="AK496" s="44"/>
      <c r="AL496" s="44"/>
      <c r="AM496" s="44"/>
      <c r="AN496" s="44"/>
      <c r="AO496" s="44"/>
    </row>
    <row r="497" spans="35:41" ht="14.25" customHeight="1" x14ac:dyDescent="0.3">
      <c r="AI497" s="44"/>
      <c r="AJ497" s="49"/>
      <c r="AK497" s="44"/>
      <c r="AL497" s="44"/>
      <c r="AM497" s="44"/>
      <c r="AN497" s="44"/>
      <c r="AO497" s="44"/>
    </row>
    <row r="498" spans="35:41" ht="14.25" customHeight="1" x14ac:dyDescent="0.3">
      <c r="AI498" s="44"/>
      <c r="AJ498" s="49"/>
      <c r="AK498" s="44"/>
      <c r="AL498" s="44"/>
      <c r="AM498" s="44"/>
      <c r="AN498" s="44"/>
      <c r="AO498" s="44"/>
    </row>
    <row r="499" spans="35:41" ht="14.25" customHeight="1" x14ac:dyDescent="0.3">
      <c r="AI499" s="44"/>
      <c r="AJ499" s="49"/>
      <c r="AK499" s="44"/>
      <c r="AL499" s="44"/>
      <c r="AM499" s="44"/>
      <c r="AN499" s="44"/>
      <c r="AO499" s="44"/>
    </row>
    <row r="500" spans="35:41" ht="14.25" customHeight="1" x14ac:dyDescent="0.3">
      <c r="AI500" s="44"/>
      <c r="AJ500" s="49"/>
      <c r="AK500" s="44"/>
      <c r="AL500" s="44"/>
      <c r="AM500" s="44"/>
      <c r="AN500" s="44"/>
      <c r="AO500" s="44"/>
    </row>
    <row r="501" spans="35:41" ht="14.25" customHeight="1" x14ac:dyDescent="0.3">
      <c r="AI501" s="44"/>
      <c r="AJ501" s="49"/>
      <c r="AK501" s="44"/>
      <c r="AL501" s="44"/>
      <c r="AM501" s="44"/>
      <c r="AN501" s="44"/>
      <c r="AO501" s="44"/>
    </row>
    <row r="502" spans="35:41" ht="14.25" customHeight="1" x14ac:dyDescent="0.3">
      <c r="AI502" s="44"/>
      <c r="AJ502" s="49"/>
      <c r="AK502" s="44"/>
      <c r="AL502" s="44"/>
      <c r="AM502" s="44"/>
      <c r="AN502" s="44"/>
      <c r="AO502" s="44"/>
    </row>
    <row r="503" spans="35:41" ht="14.25" customHeight="1" x14ac:dyDescent="0.3">
      <c r="AI503" s="44"/>
      <c r="AJ503" s="49"/>
      <c r="AK503" s="44"/>
      <c r="AL503" s="44"/>
      <c r="AM503" s="44"/>
      <c r="AN503" s="44"/>
      <c r="AO503" s="44"/>
    </row>
    <row r="504" spans="35:41" ht="14.25" customHeight="1" x14ac:dyDescent="0.3">
      <c r="AI504" s="44"/>
      <c r="AJ504" s="49"/>
      <c r="AK504" s="44"/>
      <c r="AL504" s="44"/>
      <c r="AM504" s="44"/>
      <c r="AN504" s="44"/>
      <c r="AO504" s="44"/>
    </row>
    <row r="505" spans="35:41" ht="14.25" customHeight="1" x14ac:dyDescent="0.3">
      <c r="AI505" s="44"/>
      <c r="AJ505" s="49"/>
      <c r="AK505" s="44"/>
      <c r="AL505" s="44"/>
      <c r="AM505" s="44"/>
      <c r="AN505" s="44"/>
      <c r="AO505" s="44"/>
    </row>
    <row r="506" spans="35:41" ht="14.25" customHeight="1" x14ac:dyDescent="0.3">
      <c r="AI506" s="44"/>
      <c r="AJ506" s="49"/>
      <c r="AK506" s="44"/>
      <c r="AL506" s="44"/>
      <c r="AM506" s="44"/>
      <c r="AN506" s="44"/>
      <c r="AO506" s="44"/>
    </row>
    <row r="507" spans="35:41" ht="14.25" customHeight="1" x14ac:dyDescent="0.3">
      <c r="AI507" s="44"/>
      <c r="AJ507" s="49"/>
      <c r="AK507" s="44"/>
      <c r="AL507" s="44"/>
      <c r="AM507" s="44"/>
      <c r="AN507" s="44"/>
      <c r="AO507" s="44"/>
    </row>
    <row r="508" spans="35:41" ht="14.25" customHeight="1" x14ac:dyDescent="0.3">
      <c r="AI508" s="44"/>
      <c r="AJ508" s="49"/>
      <c r="AK508" s="44"/>
      <c r="AL508" s="44"/>
      <c r="AM508" s="44"/>
      <c r="AN508" s="44"/>
      <c r="AO508" s="44"/>
    </row>
    <row r="509" spans="35:41" ht="14.25" customHeight="1" x14ac:dyDescent="0.3">
      <c r="AI509" s="44"/>
      <c r="AJ509" s="49"/>
      <c r="AK509" s="44"/>
      <c r="AL509" s="44"/>
      <c r="AM509" s="44"/>
      <c r="AN509" s="44"/>
      <c r="AO509" s="44"/>
    </row>
    <row r="510" spans="35:41" ht="14.25" customHeight="1" x14ac:dyDescent="0.3">
      <c r="AI510" s="44"/>
      <c r="AJ510" s="49"/>
      <c r="AK510" s="44"/>
      <c r="AL510" s="44"/>
      <c r="AM510" s="44"/>
      <c r="AN510" s="44"/>
      <c r="AO510" s="44"/>
    </row>
    <row r="511" spans="35:41" ht="14.25" customHeight="1" x14ac:dyDescent="0.3">
      <c r="AI511" s="44"/>
      <c r="AJ511" s="49"/>
      <c r="AK511" s="44"/>
      <c r="AL511" s="44"/>
      <c r="AM511" s="44"/>
      <c r="AN511" s="44"/>
      <c r="AO511" s="44"/>
    </row>
    <row r="512" spans="35:41" ht="14.25" customHeight="1" x14ac:dyDescent="0.3">
      <c r="AI512" s="44"/>
      <c r="AJ512" s="49"/>
      <c r="AK512" s="44"/>
      <c r="AL512" s="44"/>
      <c r="AM512" s="44"/>
      <c r="AN512" s="44"/>
      <c r="AO512" s="44"/>
    </row>
    <row r="513" spans="35:41" ht="14.25" customHeight="1" x14ac:dyDescent="0.3">
      <c r="AI513" s="44"/>
      <c r="AJ513" s="49"/>
      <c r="AK513" s="44"/>
      <c r="AL513" s="44"/>
      <c r="AM513" s="44"/>
      <c r="AN513" s="44"/>
      <c r="AO513" s="44"/>
    </row>
    <row r="514" spans="35:41" ht="14.25" customHeight="1" x14ac:dyDescent="0.3">
      <c r="AI514" s="44"/>
      <c r="AJ514" s="49"/>
      <c r="AK514" s="44"/>
      <c r="AL514" s="44"/>
      <c r="AM514" s="44"/>
      <c r="AN514" s="44"/>
      <c r="AO514" s="44"/>
    </row>
    <row r="515" spans="35:41" ht="14.25" customHeight="1" x14ac:dyDescent="0.3">
      <c r="AI515" s="44"/>
      <c r="AJ515" s="49"/>
      <c r="AK515" s="44"/>
      <c r="AL515" s="44"/>
      <c r="AM515" s="44"/>
      <c r="AN515" s="44"/>
      <c r="AO515" s="44"/>
    </row>
    <row r="516" spans="35:41" ht="14.25" customHeight="1" x14ac:dyDescent="0.3">
      <c r="AI516" s="44"/>
      <c r="AJ516" s="49"/>
      <c r="AK516" s="44"/>
      <c r="AL516" s="44"/>
      <c r="AM516" s="44"/>
      <c r="AN516" s="44"/>
      <c r="AO516" s="44"/>
    </row>
    <row r="517" spans="35:41" ht="14.25" customHeight="1" x14ac:dyDescent="0.3">
      <c r="AI517" s="44"/>
      <c r="AJ517" s="49"/>
      <c r="AK517" s="44"/>
      <c r="AL517" s="44"/>
      <c r="AM517" s="44"/>
      <c r="AN517" s="44"/>
      <c r="AO517" s="44"/>
    </row>
    <row r="518" spans="35:41" ht="14.25" customHeight="1" x14ac:dyDescent="0.3">
      <c r="AI518" s="44"/>
      <c r="AJ518" s="49"/>
      <c r="AK518" s="44"/>
      <c r="AL518" s="44"/>
      <c r="AM518" s="44"/>
      <c r="AN518" s="44"/>
      <c r="AO518" s="44"/>
    </row>
    <row r="519" spans="35:41" ht="14.25" customHeight="1" x14ac:dyDescent="0.3">
      <c r="AI519" s="44"/>
      <c r="AJ519" s="49"/>
      <c r="AK519" s="44"/>
      <c r="AL519" s="44"/>
      <c r="AM519" s="44"/>
      <c r="AN519" s="44"/>
      <c r="AO519" s="44"/>
    </row>
    <row r="520" spans="35:41" ht="14.25" customHeight="1" x14ac:dyDescent="0.3">
      <c r="AI520" s="44"/>
      <c r="AJ520" s="49"/>
      <c r="AK520" s="44"/>
      <c r="AL520" s="44"/>
      <c r="AM520" s="44"/>
      <c r="AN520" s="44"/>
      <c r="AO520" s="44"/>
    </row>
    <row r="521" spans="35:41" ht="14.25" customHeight="1" x14ac:dyDescent="0.3">
      <c r="AI521" s="44"/>
      <c r="AJ521" s="49"/>
      <c r="AK521" s="44"/>
      <c r="AL521" s="44"/>
      <c r="AM521" s="44"/>
      <c r="AN521" s="44"/>
      <c r="AO521" s="44"/>
    </row>
    <row r="522" spans="35:41" ht="14.25" customHeight="1" x14ac:dyDescent="0.3">
      <c r="AI522" s="44"/>
      <c r="AJ522" s="49"/>
      <c r="AK522" s="44"/>
      <c r="AL522" s="44"/>
      <c r="AM522" s="44"/>
      <c r="AN522" s="44"/>
      <c r="AO522" s="44"/>
    </row>
    <row r="523" spans="35:41" ht="14.25" customHeight="1" x14ac:dyDescent="0.3">
      <c r="AI523" s="44"/>
      <c r="AJ523" s="49"/>
      <c r="AK523" s="44"/>
      <c r="AL523" s="44"/>
      <c r="AM523" s="44"/>
      <c r="AN523" s="44"/>
      <c r="AO523" s="44"/>
    </row>
    <row r="524" spans="35:41" ht="14.25" customHeight="1" x14ac:dyDescent="0.3">
      <c r="AI524" s="44"/>
      <c r="AJ524" s="49"/>
      <c r="AK524" s="44"/>
      <c r="AL524" s="44"/>
      <c r="AM524" s="44"/>
      <c r="AN524" s="44"/>
      <c r="AO524" s="44"/>
    </row>
    <row r="525" spans="35:41" ht="14.25" customHeight="1" x14ac:dyDescent="0.3">
      <c r="AI525" s="44"/>
      <c r="AJ525" s="49"/>
      <c r="AK525" s="44"/>
      <c r="AL525" s="44"/>
      <c r="AM525" s="44"/>
      <c r="AN525" s="44"/>
      <c r="AO525" s="44"/>
    </row>
    <row r="526" spans="35:41" ht="14.25" customHeight="1" x14ac:dyDescent="0.3">
      <c r="AI526" s="44"/>
      <c r="AJ526" s="49"/>
      <c r="AK526" s="44"/>
      <c r="AL526" s="44"/>
      <c r="AM526" s="44"/>
      <c r="AN526" s="44"/>
      <c r="AO526" s="44"/>
    </row>
    <row r="527" spans="35:41" ht="14.25" customHeight="1" x14ac:dyDescent="0.3">
      <c r="AI527" s="44"/>
      <c r="AJ527" s="49"/>
      <c r="AK527" s="44"/>
      <c r="AL527" s="44"/>
      <c r="AM527" s="44"/>
      <c r="AN527" s="44"/>
      <c r="AO527" s="44"/>
    </row>
    <row r="528" spans="35:41" ht="14.25" customHeight="1" x14ac:dyDescent="0.3">
      <c r="AI528" s="44"/>
      <c r="AJ528" s="49"/>
      <c r="AK528" s="44"/>
      <c r="AL528" s="44"/>
      <c r="AM528" s="44"/>
      <c r="AN528" s="44"/>
      <c r="AO528" s="44"/>
    </row>
    <row r="529" spans="35:41" ht="14.25" customHeight="1" x14ac:dyDescent="0.3">
      <c r="AI529" s="44"/>
      <c r="AJ529" s="49"/>
      <c r="AK529" s="44"/>
      <c r="AL529" s="44"/>
      <c r="AM529" s="44"/>
      <c r="AN529" s="44"/>
      <c r="AO529" s="44"/>
    </row>
    <row r="530" spans="35:41" ht="14.25" customHeight="1" x14ac:dyDescent="0.3">
      <c r="AI530" s="44"/>
      <c r="AJ530" s="49"/>
      <c r="AK530" s="44"/>
      <c r="AL530" s="44"/>
      <c r="AM530" s="44"/>
      <c r="AN530" s="44"/>
      <c r="AO530" s="44"/>
    </row>
    <row r="531" spans="35:41" ht="14.25" customHeight="1" x14ac:dyDescent="0.3">
      <c r="AI531" s="44"/>
      <c r="AJ531" s="49"/>
      <c r="AK531" s="44"/>
      <c r="AL531" s="44"/>
      <c r="AM531" s="44"/>
      <c r="AN531" s="44"/>
      <c r="AO531" s="44"/>
    </row>
    <row r="532" spans="35:41" ht="14.25" customHeight="1" x14ac:dyDescent="0.3">
      <c r="AI532" s="44"/>
      <c r="AJ532" s="49"/>
      <c r="AK532" s="44"/>
      <c r="AL532" s="44"/>
      <c r="AM532" s="44"/>
      <c r="AN532" s="44"/>
      <c r="AO532" s="44"/>
    </row>
    <row r="533" spans="35:41" ht="14.25" customHeight="1" x14ac:dyDescent="0.3">
      <c r="AI533" s="44"/>
      <c r="AJ533" s="49"/>
      <c r="AK533" s="44"/>
      <c r="AL533" s="44"/>
      <c r="AM533" s="44"/>
      <c r="AN533" s="44"/>
      <c r="AO533" s="44"/>
    </row>
    <row r="534" spans="35:41" ht="14.25" customHeight="1" x14ac:dyDescent="0.3">
      <c r="AI534" s="44"/>
      <c r="AJ534" s="49"/>
      <c r="AK534" s="44"/>
      <c r="AL534" s="44"/>
      <c r="AM534" s="44"/>
      <c r="AN534" s="44"/>
      <c r="AO534" s="44"/>
    </row>
    <row r="535" spans="35:41" ht="14.25" customHeight="1" x14ac:dyDescent="0.3">
      <c r="AI535" s="44"/>
      <c r="AJ535" s="49"/>
      <c r="AK535" s="44"/>
      <c r="AL535" s="44"/>
      <c r="AM535" s="44"/>
      <c r="AN535" s="44"/>
      <c r="AO535" s="44"/>
    </row>
    <row r="536" spans="35:41" ht="14.25" customHeight="1" x14ac:dyDescent="0.3">
      <c r="AI536" s="44"/>
      <c r="AJ536" s="49"/>
      <c r="AK536" s="44"/>
      <c r="AL536" s="44"/>
      <c r="AM536" s="44"/>
      <c r="AN536" s="44"/>
      <c r="AO536" s="44"/>
    </row>
    <row r="537" spans="35:41" ht="14.25" customHeight="1" x14ac:dyDescent="0.3">
      <c r="AI537" s="44"/>
      <c r="AJ537" s="49"/>
      <c r="AK537" s="44"/>
      <c r="AL537" s="44"/>
      <c r="AM537" s="44"/>
      <c r="AN537" s="44"/>
      <c r="AO537" s="44"/>
    </row>
    <row r="538" spans="35:41" ht="14.25" customHeight="1" x14ac:dyDescent="0.3">
      <c r="AI538" s="44"/>
      <c r="AJ538" s="49"/>
      <c r="AK538" s="44"/>
      <c r="AL538" s="44"/>
      <c r="AM538" s="44"/>
      <c r="AN538" s="44"/>
      <c r="AO538" s="44"/>
    </row>
    <row r="539" spans="35:41" ht="14.25" customHeight="1" x14ac:dyDescent="0.3">
      <c r="AI539" s="44"/>
      <c r="AJ539" s="49"/>
      <c r="AK539" s="44"/>
      <c r="AL539" s="44"/>
      <c r="AM539" s="44"/>
      <c r="AN539" s="44"/>
      <c r="AO539" s="44"/>
    </row>
    <row r="540" spans="35:41" ht="14.25" customHeight="1" x14ac:dyDescent="0.3">
      <c r="AI540" s="44"/>
      <c r="AJ540" s="49"/>
      <c r="AK540" s="44"/>
      <c r="AL540" s="44"/>
      <c r="AM540" s="44"/>
      <c r="AN540" s="44"/>
      <c r="AO540" s="44"/>
    </row>
    <row r="541" spans="35:41" ht="14.25" customHeight="1" x14ac:dyDescent="0.3">
      <c r="AI541" s="44"/>
      <c r="AJ541" s="49"/>
      <c r="AK541" s="44"/>
      <c r="AL541" s="44"/>
      <c r="AM541" s="44"/>
      <c r="AN541" s="44"/>
      <c r="AO541" s="44"/>
    </row>
    <row r="542" spans="35:41" ht="14.25" customHeight="1" x14ac:dyDescent="0.3">
      <c r="AI542" s="44"/>
      <c r="AJ542" s="49"/>
      <c r="AK542" s="44"/>
      <c r="AL542" s="44"/>
      <c r="AM542" s="44"/>
      <c r="AN542" s="44"/>
      <c r="AO542" s="44"/>
    </row>
    <row r="543" spans="35:41" ht="14.25" customHeight="1" x14ac:dyDescent="0.3">
      <c r="AI543" s="44"/>
      <c r="AJ543" s="49"/>
      <c r="AK543" s="44"/>
      <c r="AL543" s="44"/>
      <c r="AM543" s="44"/>
      <c r="AN543" s="44"/>
      <c r="AO543" s="44"/>
    </row>
    <row r="544" spans="35:41" ht="14.25" customHeight="1" x14ac:dyDescent="0.3">
      <c r="AI544" s="44"/>
      <c r="AJ544" s="49"/>
      <c r="AK544" s="44"/>
      <c r="AL544" s="44"/>
      <c r="AM544" s="44"/>
      <c r="AN544" s="44"/>
      <c r="AO544" s="44"/>
    </row>
    <row r="545" spans="35:41" ht="14.25" customHeight="1" x14ac:dyDescent="0.3">
      <c r="AI545" s="44"/>
      <c r="AJ545" s="49"/>
      <c r="AK545" s="44"/>
      <c r="AL545" s="44"/>
      <c r="AM545" s="44"/>
      <c r="AN545" s="44"/>
      <c r="AO545" s="44"/>
    </row>
    <row r="546" spans="35:41" ht="14.25" customHeight="1" x14ac:dyDescent="0.3">
      <c r="AI546" s="44"/>
      <c r="AJ546" s="49"/>
      <c r="AK546" s="44"/>
      <c r="AL546" s="44"/>
      <c r="AM546" s="44"/>
      <c r="AN546" s="44"/>
      <c r="AO546" s="44"/>
    </row>
    <row r="547" spans="35:41" ht="14.25" customHeight="1" x14ac:dyDescent="0.3">
      <c r="AI547" s="44"/>
      <c r="AJ547" s="49"/>
      <c r="AK547" s="44"/>
      <c r="AL547" s="44"/>
      <c r="AM547" s="44"/>
      <c r="AN547" s="44"/>
      <c r="AO547" s="44"/>
    </row>
    <row r="548" spans="35:41" ht="14.25" customHeight="1" x14ac:dyDescent="0.3">
      <c r="AI548" s="44"/>
      <c r="AJ548" s="49"/>
      <c r="AK548" s="44"/>
      <c r="AL548" s="44"/>
      <c r="AM548" s="44"/>
      <c r="AN548" s="44"/>
      <c r="AO548" s="44"/>
    </row>
    <row r="549" spans="35:41" ht="14.25" customHeight="1" x14ac:dyDescent="0.3">
      <c r="AI549" s="44"/>
      <c r="AJ549" s="49"/>
      <c r="AK549" s="44"/>
      <c r="AL549" s="44"/>
      <c r="AM549" s="44"/>
      <c r="AN549" s="44"/>
      <c r="AO549" s="44"/>
    </row>
    <row r="550" spans="35:41" ht="14.25" customHeight="1" x14ac:dyDescent="0.3">
      <c r="AI550" s="44"/>
      <c r="AJ550" s="49"/>
      <c r="AK550" s="44"/>
      <c r="AL550" s="44"/>
      <c r="AM550" s="44"/>
      <c r="AN550" s="44"/>
      <c r="AO550" s="44"/>
    </row>
    <row r="551" spans="35:41" ht="14.25" customHeight="1" x14ac:dyDescent="0.3">
      <c r="AI551" s="44"/>
      <c r="AJ551" s="49"/>
      <c r="AK551" s="44"/>
      <c r="AL551" s="44"/>
      <c r="AM551" s="44"/>
      <c r="AN551" s="44"/>
      <c r="AO551" s="44"/>
    </row>
    <row r="552" spans="35:41" ht="14.25" customHeight="1" x14ac:dyDescent="0.3">
      <c r="AI552" s="44"/>
      <c r="AJ552" s="49"/>
      <c r="AK552" s="44"/>
      <c r="AL552" s="44"/>
      <c r="AM552" s="44"/>
      <c r="AN552" s="44"/>
      <c r="AO552" s="44"/>
    </row>
    <row r="553" spans="35:41" ht="14.25" customHeight="1" x14ac:dyDescent="0.3">
      <c r="AI553" s="44"/>
      <c r="AJ553" s="49"/>
      <c r="AK553" s="44"/>
      <c r="AL553" s="44"/>
      <c r="AM553" s="44"/>
      <c r="AN553" s="44"/>
      <c r="AO553" s="44"/>
    </row>
    <row r="554" spans="35:41" ht="14.25" customHeight="1" x14ac:dyDescent="0.3">
      <c r="AI554" s="44"/>
      <c r="AJ554" s="49"/>
      <c r="AK554" s="44"/>
      <c r="AL554" s="44"/>
      <c r="AM554" s="44"/>
      <c r="AN554" s="44"/>
      <c r="AO554" s="44"/>
    </row>
    <row r="555" spans="35:41" ht="14.25" customHeight="1" x14ac:dyDescent="0.3">
      <c r="AI555" s="44"/>
      <c r="AJ555" s="49"/>
      <c r="AK555" s="44"/>
      <c r="AL555" s="44"/>
      <c r="AM555" s="44"/>
      <c r="AN555" s="44"/>
      <c r="AO555" s="44"/>
    </row>
    <row r="556" spans="35:41" ht="14.25" customHeight="1" x14ac:dyDescent="0.3">
      <c r="AI556" s="44"/>
      <c r="AJ556" s="49"/>
      <c r="AK556" s="44"/>
      <c r="AL556" s="44"/>
      <c r="AM556" s="44"/>
      <c r="AN556" s="44"/>
      <c r="AO556" s="44"/>
    </row>
    <row r="557" spans="35:41" ht="14.25" customHeight="1" x14ac:dyDescent="0.3">
      <c r="AI557" s="44"/>
      <c r="AJ557" s="49"/>
      <c r="AK557" s="44"/>
      <c r="AL557" s="44"/>
      <c r="AM557" s="44"/>
      <c r="AN557" s="44"/>
      <c r="AO557" s="44"/>
    </row>
    <row r="558" spans="35:41" ht="14.25" customHeight="1" x14ac:dyDescent="0.3">
      <c r="AI558" s="44"/>
      <c r="AJ558" s="49"/>
      <c r="AK558" s="44"/>
      <c r="AL558" s="44"/>
      <c r="AM558" s="44"/>
      <c r="AN558" s="44"/>
      <c r="AO558" s="44"/>
    </row>
    <row r="559" spans="35:41" ht="14.25" customHeight="1" x14ac:dyDescent="0.3">
      <c r="AI559" s="44"/>
      <c r="AJ559" s="49"/>
      <c r="AK559" s="44"/>
      <c r="AL559" s="44"/>
      <c r="AM559" s="44"/>
      <c r="AN559" s="44"/>
      <c r="AO559" s="44"/>
    </row>
    <row r="560" spans="35:41" ht="14.25" customHeight="1" x14ac:dyDescent="0.3">
      <c r="AI560" s="44"/>
      <c r="AJ560" s="49"/>
      <c r="AK560" s="44"/>
      <c r="AL560" s="44"/>
      <c r="AM560" s="44"/>
      <c r="AN560" s="44"/>
      <c r="AO560" s="44"/>
    </row>
    <row r="561" spans="35:41" ht="14.25" customHeight="1" x14ac:dyDescent="0.3">
      <c r="AI561" s="44"/>
      <c r="AJ561" s="49"/>
      <c r="AK561" s="44"/>
      <c r="AL561" s="44"/>
      <c r="AM561" s="44"/>
      <c r="AN561" s="44"/>
      <c r="AO561" s="44"/>
    </row>
    <row r="562" spans="35:41" ht="14.25" customHeight="1" x14ac:dyDescent="0.3">
      <c r="AI562" s="44"/>
      <c r="AJ562" s="49"/>
      <c r="AK562" s="44"/>
      <c r="AL562" s="44"/>
      <c r="AM562" s="44"/>
      <c r="AN562" s="44"/>
      <c r="AO562" s="44"/>
    </row>
    <row r="563" spans="35:41" ht="14.25" customHeight="1" x14ac:dyDescent="0.3">
      <c r="AI563" s="44"/>
      <c r="AJ563" s="49"/>
      <c r="AK563" s="44"/>
      <c r="AL563" s="44"/>
      <c r="AM563" s="44"/>
      <c r="AN563" s="44"/>
      <c r="AO563" s="44"/>
    </row>
    <row r="564" spans="35:41" ht="14.25" customHeight="1" x14ac:dyDescent="0.3">
      <c r="AI564" s="44"/>
      <c r="AJ564" s="49"/>
      <c r="AK564" s="44"/>
      <c r="AL564" s="44"/>
      <c r="AM564" s="44"/>
      <c r="AN564" s="44"/>
      <c r="AO564" s="44"/>
    </row>
    <row r="565" spans="35:41" ht="14.25" customHeight="1" x14ac:dyDescent="0.3">
      <c r="AI565" s="44"/>
      <c r="AJ565" s="49"/>
      <c r="AK565" s="44"/>
      <c r="AL565" s="44"/>
      <c r="AM565" s="44"/>
      <c r="AN565" s="44"/>
      <c r="AO565" s="44"/>
    </row>
    <row r="566" spans="35:41" ht="14.25" customHeight="1" x14ac:dyDescent="0.3">
      <c r="AI566" s="44"/>
      <c r="AJ566" s="49"/>
      <c r="AK566" s="44"/>
      <c r="AL566" s="44"/>
      <c r="AM566" s="44"/>
      <c r="AN566" s="44"/>
      <c r="AO566" s="44"/>
    </row>
    <row r="567" spans="35:41" ht="14.25" customHeight="1" x14ac:dyDescent="0.3">
      <c r="AI567" s="44"/>
      <c r="AJ567" s="49"/>
      <c r="AK567" s="44"/>
      <c r="AL567" s="44"/>
      <c r="AM567" s="44"/>
      <c r="AN567" s="44"/>
      <c r="AO567" s="44"/>
    </row>
    <row r="568" spans="35:41" ht="14.25" customHeight="1" x14ac:dyDescent="0.3">
      <c r="AI568" s="44"/>
      <c r="AJ568" s="49"/>
      <c r="AK568" s="44"/>
      <c r="AL568" s="44"/>
      <c r="AM568" s="44"/>
      <c r="AN568" s="44"/>
      <c r="AO568" s="44"/>
    </row>
    <row r="569" spans="35:41" ht="14.25" customHeight="1" x14ac:dyDescent="0.3">
      <c r="AI569" s="44"/>
      <c r="AJ569" s="49"/>
      <c r="AK569" s="44"/>
      <c r="AL569" s="44"/>
      <c r="AM569" s="44"/>
      <c r="AN569" s="44"/>
      <c r="AO569" s="44"/>
    </row>
    <row r="570" spans="35:41" ht="14.25" customHeight="1" x14ac:dyDescent="0.3">
      <c r="AI570" s="44"/>
      <c r="AJ570" s="49"/>
      <c r="AK570" s="44"/>
      <c r="AL570" s="44"/>
      <c r="AM570" s="44"/>
      <c r="AN570" s="44"/>
      <c r="AO570" s="44"/>
    </row>
    <row r="571" spans="35:41" ht="14.25" customHeight="1" x14ac:dyDescent="0.3">
      <c r="AI571" s="44"/>
      <c r="AJ571" s="49"/>
      <c r="AK571" s="44"/>
      <c r="AL571" s="44"/>
      <c r="AM571" s="44"/>
      <c r="AN571" s="44"/>
      <c r="AO571" s="44"/>
    </row>
    <row r="572" spans="35:41" ht="14.25" customHeight="1" x14ac:dyDescent="0.3">
      <c r="AI572" s="44"/>
      <c r="AJ572" s="49"/>
      <c r="AK572" s="44"/>
      <c r="AL572" s="44"/>
      <c r="AM572" s="44"/>
      <c r="AN572" s="44"/>
      <c r="AO572" s="44"/>
    </row>
    <row r="573" spans="35:41" ht="14.25" customHeight="1" x14ac:dyDescent="0.3">
      <c r="AI573" s="44"/>
      <c r="AJ573" s="49"/>
      <c r="AK573" s="44"/>
      <c r="AL573" s="44"/>
      <c r="AM573" s="44"/>
      <c r="AN573" s="44"/>
      <c r="AO573" s="44"/>
    </row>
    <row r="574" spans="35:41" ht="14.25" customHeight="1" x14ac:dyDescent="0.3">
      <c r="AI574" s="44"/>
      <c r="AJ574" s="49"/>
      <c r="AK574" s="44"/>
      <c r="AL574" s="44"/>
      <c r="AM574" s="44"/>
      <c r="AN574" s="44"/>
      <c r="AO574" s="44"/>
    </row>
    <row r="575" spans="35:41" ht="14.25" customHeight="1" x14ac:dyDescent="0.3">
      <c r="AI575" s="44"/>
      <c r="AJ575" s="49"/>
      <c r="AK575" s="44"/>
      <c r="AL575" s="44"/>
      <c r="AM575" s="44"/>
      <c r="AN575" s="44"/>
      <c r="AO575" s="44"/>
    </row>
    <row r="576" spans="35:41" ht="14.25" customHeight="1" x14ac:dyDescent="0.3">
      <c r="AI576" s="44"/>
      <c r="AJ576" s="49"/>
      <c r="AK576" s="44"/>
      <c r="AL576" s="44"/>
      <c r="AM576" s="44"/>
      <c r="AN576" s="44"/>
      <c r="AO576" s="44"/>
    </row>
    <row r="577" spans="35:41" ht="14.25" customHeight="1" x14ac:dyDescent="0.3">
      <c r="AI577" s="44"/>
      <c r="AJ577" s="49"/>
      <c r="AK577" s="44"/>
      <c r="AL577" s="44"/>
      <c r="AM577" s="44"/>
      <c r="AN577" s="44"/>
      <c r="AO577" s="44"/>
    </row>
    <row r="578" spans="35:41" ht="14.25" customHeight="1" x14ac:dyDescent="0.3">
      <c r="AI578" s="44"/>
      <c r="AJ578" s="49"/>
      <c r="AK578" s="44"/>
      <c r="AL578" s="44"/>
      <c r="AM578" s="44"/>
      <c r="AN578" s="44"/>
      <c r="AO578" s="44"/>
    </row>
    <row r="579" spans="35:41" ht="14.25" customHeight="1" x14ac:dyDescent="0.3">
      <c r="AI579" s="44"/>
      <c r="AJ579" s="49"/>
      <c r="AK579" s="44"/>
      <c r="AL579" s="44"/>
      <c r="AM579" s="44"/>
      <c r="AN579" s="44"/>
      <c r="AO579" s="44"/>
    </row>
    <row r="580" spans="35:41" ht="14.25" customHeight="1" x14ac:dyDescent="0.3">
      <c r="AI580" s="44"/>
      <c r="AJ580" s="49"/>
      <c r="AK580" s="44"/>
      <c r="AL580" s="44"/>
      <c r="AM580" s="44"/>
      <c r="AN580" s="44"/>
      <c r="AO580" s="44"/>
    </row>
    <row r="581" spans="35:41" ht="14.25" customHeight="1" x14ac:dyDescent="0.3">
      <c r="AI581" s="44"/>
      <c r="AJ581" s="49"/>
      <c r="AK581" s="44"/>
      <c r="AL581" s="44"/>
      <c r="AM581" s="44"/>
      <c r="AN581" s="44"/>
      <c r="AO581" s="44"/>
    </row>
    <row r="582" spans="35:41" ht="14.25" customHeight="1" x14ac:dyDescent="0.3">
      <c r="AI582" s="44"/>
      <c r="AJ582" s="49"/>
      <c r="AK582" s="44"/>
      <c r="AL582" s="44"/>
      <c r="AM582" s="44"/>
      <c r="AN582" s="44"/>
      <c r="AO582" s="44"/>
    </row>
    <row r="583" spans="35:41" ht="14.25" customHeight="1" x14ac:dyDescent="0.3">
      <c r="AI583" s="44"/>
      <c r="AJ583" s="49"/>
      <c r="AK583" s="44"/>
      <c r="AL583" s="44"/>
      <c r="AM583" s="44"/>
      <c r="AN583" s="44"/>
      <c r="AO583" s="44"/>
    </row>
    <row r="584" spans="35:41" ht="14.25" customHeight="1" x14ac:dyDescent="0.3">
      <c r="AI584" s="44"/>
      <c r="AJ584" s="49"/>
      <c r="AK584" s="44"/>
      <c r="AL584" s="44"/>
      <c r="AM584" s="44"/>
      <c r="AN584" s="44"/>
      <c r="AO584" s="44"/>
    </row>
    <row r="585" spans="35:41" ht="14.25" customHeight="1" x14ac:dyDescent="0.3">
      <c r="AI585" s="44"/>
      <c r="AJ585" s="49"/>
      <c r="AK585" s="44"/>
      <c r="AL585" s="44"/>
      <c r="AM585" s="44"/>
      <c r="AN585" s="44"/>
      <c r="AO585" s="44"/>
    </row>
    <row r="586" spans="35:41" ht="14.25" customHeight="1" x14ac:dyDescent="0.3">
      <c r="AI586" s="44"/>
      <c r="AJ586" s="49"/>
      <c r="AK586" s="44"/>
      <c r="AL586" s="44"/>
      <c r="AM586" s="44"/>
      <c r="AN586" s="44"/>
      <c r="AO586" s="44"/>
    </row>
    <row r="587" spans="35:41" ht="14.25" customHeight="1" x14ac:dyDescent="0.3">
      <c r="AI587" s="44"/>
      <c r="AJ587" s="49"/>
      <c r="AK587" s="44"/>
      <c r="AL587" s="44"/>
      <c r="AM587" s="44"/>
      <c r="AN587" s="44"/>
      <c r="AO587" s="44"/>
    </row>
    <row r="588" spans="35:41" ht="14.25" customHeight="1" x14ac:dyDescent="0.3">
      <c r="AI588" s="44"/>
      <c r="AJ588" s="49"/>
      <c r="AK588" s="44"/>
      <c r="AL588" s="44"/>
      <c r="AM588" s="44"/>
      <c r="AN588" s="44"/>
      <c r="AO588" s="44"/>
    </row>
    <row r="589" spans="35:41" ht="14.25" customHeight="1" x14ac:dyDescent="0.3">
      <c r="AI589" s="44"/>
      <c r="AJ589" s="49"/>
      <c r="AK589" s="44"/>
      <c r="AL589" s="44"/>
      <c r="AM589" s="44"/>
      <c r="AN589" s="44"/>
      <c r="AO589" s="44"/>
    </row>
    <row r="590" spans="35:41" ht="14.25" customHeight="1" x14ac:dyDescent="0.3">
      <c r="AI590" s="44"/>
      <c r="AJ590" s="49"/>
      <c r="AK590" s="44"/>
      <c r="AL590" s="44"/>
      <c r="AM590" s="44"/>
      <c r="AN590" s="44"/>
      <c r="AO590" s="44"/>
    </row>
    <row r="591" spans="35:41" ht="14.25" customHeight="1" x14ac:dyDescent="0.3">
      <c r="AI591" s="44"/>
      <c r="AJ591" s="49"/>
      <c r="AK591" s="44"/>
      <c r="AL591" s="44"/>
      <c r="AM591" s="44"/>
      <c r="AN591" s="44"/>
      <c r="AO591" s="44"/>
    </row>
    <row r="592" spans="35:41" ht="14.25" customHeight="1" x14ac:dyDescent="0.3">
      <c r="AI592" s="44"/>
      <c r="AJ592" s="49"/>
      <c r="AK592" s="44"/>
      <c r="AL592" s="44"/>
      <c r="AM592" s="44"/>
      <c r="AN592" s="44"/>
      <c r="AO592" s="44"/>
    </row>
    <row r="593" spans="35:41" ht="14.25" customHeight="1" x14ac:dyDescent="0.3">
      <c r="AI593" s="44"/>
      <c r="AJ593" s="49"/>
      <c r="AK593" s="44"/>
      <c r="AL593" s="44"/>
      <c r="AM593" s="44"/>
      <c r="AN593" s="44"/>
      <c r="AO593" s="44"/>
    </row>
    <row r="594" spans="35:41" ht="14.25" customHeight="1" x14ac:dyDescent="0.3">
      <c r="AI594" s="44"/>
      <c r="AJ594" s="49"/>
      <c r="AK594" s="44"/>
      <c r="AL594" s="44"/>
      <c r="AM594" s="44"/>
      <c r="AN594" s="44"/>
      <c r="AO594" s="44"/>
    </row>
    <row r="595" spans="35:41" ht="14.25" customHeight="1" x14ac:dyDescent="0.3">
      <c r="AI595" s="44"/>
      <c r="AJ595" s="49"/>
      <c r="AK595" s="44"/>
      <c r="AL595" s="44"/>
      <c r="AM595" s="44"/>
      <c r="AN595" s="44"/>
      <c r="AO595" s="44"/>
    </row>
    <row r="596" spans="35:41" ht="14.25" customHeight="1" x14ac:dyDescent="0.3">
      <c r="AI596" s="44"/>
      <c r="AJ596" s="49"/>
      <c r="AK596" s="44"/>
      <c r="AL596" s="44"/>
      <c r="AM596" s="44"/>
      <c r="AN596" s="44"/>
      <c r="AO596" s="44"/>
    </row>
    <row r="597" spans="35:41" ht="14.25" customHeight="1" x14ac:dyDescent="0.3">
      <c r="AI597" s="44"/>
      <c r="AJ597" s="49"/>
      <c r="AK597" s="44"/>
      <c r="AL597" s="44"/>
      <c r="AM597" s="44"/>
      <c r="AN597" s="44"/>
      <c r="AO597" s="44"/>
    </row>
    <row r="598" spans="35:41" ht="14.25" customHeight="1" x14ac:dyDescent="0.3">
      <c r="AI598" s="44"/>
      <c r="AJ598" s="49"/>
      <c r="AK598" s="44"/>
      <c r="AL598" s="44"/>
      <c r="AM598" s="44"/>
      <c r="AN598" s="44"/>
      <c r="AO598" s="44"/>
    </row>
    <row r="599" spans="35:41" ht="14.25" customHeight="1" x14ac:dyDescent="0.3">
      <c r="AI599" s="44"/>
      <c r="AJ599" s="49"/>
      <c r="AK599" s="44"/>
      <c r="AL599" s="44"/>
      <c r="AM599" s="44"/>
      <c r="AN599" s="44"/>
      <c r="AO599" s="44"/>
    </row>
    <row r="600" spans="35:41" ht="14.25" customHeight="1" x14ac:dyDescent="0.3">
      <c r="AI600" s="44"/>
      <c r="AJ600" s="49"/>
      <c r="AK600" s="44"/>
      <c r="AL600" s="44"/>
      <c r="AM600" s="44"/>
      <c r="AN600" s="44"/>
      <c r="AO600" s="44"/>
    </row>
    <row r="601" spans="35:41" ht="14.25" customHeight="1" x14ac:dyDescent="0.3">
      <c r="AI601" s="44"/>
      <c r="AJ601" s="49"/>
      <c r="AK601" s="44"/>
      <c r="AL601" s="44"/>
      <c r="AM601" s="44"/>
      <c r="AN601" s="44"/>
      <c r="AO601" s="44"/>
    </row>
    <row r="602" spans="35:41" ht="14.25" customHeight="1" x14ac:dyDescent="0.3">
      <c r="AI602" s="44"/>
      <c r="AJ602" s="49"/>
      <c r="AK602" s="44"/>
      <c r="AL602" s="44"/>
      <c r="AM602" s="44"/>
      <c r="AN602" s="44"/>
      <c r="AO602" s="44"/>
    </row>
    <row r="603" spans="35:41" ht="14.25" customHeight="1" x14ac:dyDescent="0.3">
      <c r="AI603" s="44"/>
      <c r="AJ603" s="49"/>
      <c r="AK603" s="44"/>
      <c r="AL603" s="44"/>
      <c r="AM603" s="44"/>
      <c r="AN603" s="44"/>
      <c r="AO603" s="44"/>
    </row>
    <row r="604" spans="35:41" ht="14.25" customHeight="1" x14ac:dyDescent="0.3">
      <c r="AI604" s="44"/>
      <c r="AJ604" s="49"/>
      <c r="AK604" s="44"/>
      <c r="AL604" s="44"/>
      <c r="AM604" s="44"/>
      <c r="AN604" s="44"/>
      <c r="AO604" s="44"/>
    </row>
    <row r="605" spans="35:41" ht="14.25" customHeight="1" x14ac:dyDescent="0.3">
      <c r="AI605" s="44"/>
      <c r="AJ605" s="49"/>
      <c r="AK605" s="44"/>
      <c r="AL605" s="44"/>
      <c r="AM605" s="44"/>
      <c r="AN605" s="44"/>
      <c r="AO605" s="44"/>
    </row>
    <row r="606" spans="35:41" ht="14.25" customHeight="1" x14ac:dyDescent="0.3">
      <c r="AI606" s="44"/>
      <c r="AJ606" s="49"/>
      <c r="AK606" s="44"/>
      <c r="AL606" s="44"/>
      <c r="AM606" s="44"/>
      <c r="AN606" s="44"/>
      <c r="AO606" s="44"/>
    </row>
    <row r="607" spans="35:41" ht="14.25" customHeight="1" x14ac:dyDescent="0.3">
      <c r="AI607" s="44"/>
      <c r="AJ607" s="49"/>
      <c r="AK607" s="44"/>
      <c r="AL607" s="44"/>
      <c r="AM607" s="44"/>
      <c r="AN607" s="44"/>
      <c r="AO607" s="44"/>
    </row>
    <row r="608" spans="35:41" ht="14.25" customHeight="1" x14ac:dyDescent="0.3">
      <c r="AI608" s="44"/>
      <c r="AJ608" s="49"/>
      <c r="AK608" s="44"/>
      <c r="AL608" s="44"/>
      <c r="AM608" s="44"/>
      <c r="AN608" s="44"/>
      <c r="AO608" s="44"/>
    </row>
    <row r="609" spans="35:41" ht="14.25" customHeight="1" x14ac:dyDescent="0.3">
      <c r="AI609" s="44"/>
      <c r="AJ609" s="49"/>
      <c r="AK609" s="44"/>
      <c r="AL609" s="44"/>
      <c r="AM609" s="44"/>
      <c r="AN609" s="44"/>
      <c r="AO609" s="44"/>
    </row>
    <row r="610" spans="35:41" ht="14.25" customHeight="1" x14ac:dyDescent="0.3">
      <c r="AI610" s="44"/>
      <c r="AJ610" s="49"/>
      <c r="AK610" s="44"/>
      <c r="AL610" s="44"/>
      <c r="AM610" s="44"/>
      <c r="AN610" s="44"/>
      <c r="AO610" s="44"/>
    </row>
    <row r="611" spans="35:41" ht="14.25" customHeight="1" x14ac:dyDescent="0.3">
      <c r="AI611" s="44"/>
      <c r="AJ611" s="49"/>
      <c r="AK611" s="44"/>
      <c r="AL611" s="44"/>
      <c r="AM611" s="44"/>
      <c r="AN611" s="44"/>
      <c r="AO611" s="44"/>
    </row>
    <row r="612" spans="35:41" ht="14.25" customHeight="1" x14ac:dyDescent="0.3">
      <c r="AI612" s="44"/>
      <c r="AJ612" s="49"/>
      <c r="AK612" s="44"/>
      <c r="AL612" s="44"/>
      <c r="AM612" s="44"/>
      <c r="AN612" s="44"/>
      <c r="AO612" s="44"/>
    </row>
    <row r="613" spans="35:41" ht="14.25" customHeight="1" x14ac:dyDescent="0.3">
      <c r="AI613" s="44"/>
      <c r="AJ613" s="49"/>
      <c r="AK613" s="44"/>
      <c r="AL613" s="44"/>
      <c r="AM613" s="44"/>
      <c r="AN613" s="44"/>
      <c r="AO613" s="44"/>
    </row>
    <row r="614" spans="35:41" ht="14.25" customHeight="1" x14ac:dyDescent="0.3">
      <c r="AI614" s="44"/>
      <c r="AJ614" s="49"/>
      <c r="AK614" s="44"/>
      <c r="AL614" s="44"/>
      <c r="AM614" s="44"/>
      <c r="AN614" s="44"/>
      <c r="AO614" s="44"/>
    </row>
    <row r="615" spans="35:41" ht="14.25" customHeight="1" x14ac:dyDescent="0.3">
      <c r="AI615" s="44"/>
      <c r="AJ615" s="49"/>
      <c r="AK615" s="44"/>
      <c r="AL615" s="44"/>
      <c r="AM615" s="44"/>
      <c r="AN615" s="44"/>
      <c r="AO615" s="44"/>
    </row>
    <row r="616" spans="35:41" ht="14.25" customHeight="1" x14ac:dyDescent="0.3">
      <c r="AI616" s="44"/>
      <c r="AJ616" s="49"/>
      <c r="AK616" s="44"/>
      <c r="AL616" s="44"/>
      <c r="AM616" s="44"/>
      <c r="AN616" s="44"/>
      <c r="AO616" s="44"/>
    </row>
    <row r="617" spans="35:41" ht="14.25" customHeight="1" x14ac:dyDescent="0.3">
      <c r="AI617" s="44"/>
      <c r="AJ617" s="49"/>
      <c r="AK617" s="44"/>
      <c r="AL617" s="44"/>
      <c r="AM617" s="44"/>
      <c r="AN617" s="44"/>
      <c r="AO617" s="44"/>
    </row>
    <row r="618" spans="35:41" ht="14.25" customHeight="1" x14ac:dyDescent="0.3">
      <c r="AI618" s="44"/>
      <c r="AJ618" s="49"/>
      <c r="AK618" s="44"/>
      <c r="AL618" s="44"/>
      <c r="AM618" s="44"/>
      <c r="AN618" s="44"/>
      <c r="AO618" s="44"/>
    </row>
    <row r="619" spans="35:41" ht="14.25" customHeight="1" x14ac:dyDescent="0.3">
      <c r="AI619" s="44"/>
      <c r="AJ619" s="49"/>
      <c r="AK619" s="44"/>
      <c r="AL619" s="44"/>
      <c r="AM619" s="44"/>
      <c r="AN619" s="44"/>
      <c r="AO619" s="44"/>
    </row>
    <row r="620" spans="35:41" ht="14.25" customHeight="1" x14ac:dyDescent="0.3">
      <c r="AI620" s="44"/>
      <c r="AJ620" s="49"/>
      <c r="AK620" s="44"/>
      <c r="AL620" s="44"/>
      <c r="AM620" s="44"/>
      <c r="AN620" s="44"/>
      <c r="AO620" s="44"/>
    </row>
    <row r="621" spans="35:41" ht="14.25" customHeight="1" x14ac:dyDescent="0.3">
      <c r="AI621" s="44"/>
      <c r="AJ621" s="49"/>
      <c r="AK621" s="44"/>
      <c r="AL621" s="44"/>
      <c r="AM621" s="44"/>
      <c r="AN621" s="44"/>
      <c r="AO621" s="44"/>
    </row>
    <row r="622" spans="35:41" ht="14.25" customHeight="1" x14ac:dyDescent="0.3">
      <c r="AI622" s="44"/>
      <c r="AJ622" s="49"/>
      <c r="AK622" s="44"/>
      <c r="AL622" s="44"/>
      <c r="AM622" s="44"/>
      <c r="AN622" s="44"/>
      <c r="AO622" s="44"/>
    </row>
    <row r="623" spans="35:41" ht="14.25" customHeight="1" x14ac:dyDescent="0.3">
      <c r="AI623" s="44"/>
      <c r="AJ623" s="49"/>
      <c r="AK623" s="44"/>
      <c r="AL623" s="44"/>
      <c r="AM623" s="44"/>
      <c r="AN623" s="44"/>
      <c r="AO623" s="44"/>
    </row>
    <row r="624" spans="35:41" ht="14.25" customHeight="1" x14ac:dyDescent="0.3">
      <c r="AI624" s="44"/>
      <c r="AJ624" s="49"/>
      <c r="AK624" s="44"/>
      <c r="AL624" s="44"/>
      <c r="AM624" s="44"/>
      <c r="AN624" s="44"/>
      <c r="AO624" s="44"/>
    </row>
    <row r="625" spans="35:41" ht="14.25" customHeight="1" x14ac:dyDescent="0.3">
      <c r="AI625" s="44"/>
      <c r="AJ625" s="49"/>
      <c r="AK625" s="44"/>
      <c r="AL625" s="44"/>
      <c r="AM625" s="44"/>
      <c r="AN625" s="44"/>
      <c r="AO625" s="44"/>
    </row>
    <row r="626" spans="35:41" ht="14.25" customHeight="1" x14ac:dyDescent="0.3">
      <c r="AI626" s="44"/>
      <c r="AJ626" s="49"/>
      <c r="AK626" s="44"/>
      <c r="AL626" s="44"/>
      <c r="AM626" s="44"/>
      <c r="AN626" s="44"/>
      <c r="AO626" s="44"/>
    </row>
    <row r="627" spans="35:41" ht="14.25" customHeight="1" x14ac:dyDescent="0.3">
      <c r="AI627" s="44"/>
      <c r="AJ627" s="49"/>
      <c r="AK627" s="44"/>
      <c r="AL627" s="44"/>
      <c r="AM627" s="44"/>
      <c r="AN627" s="44"/>
      <c r="AO627" s="44"/>
    </row>
    <row r="628" spans="35:41" ht="14.25" customHeight="1" x14ac:dyDescent="0.3">
      <c r="AI628" s="44"/>
      <c r="AJ628" s="49"/>
      <c r="AK628" s="44"/>
      <c r="AL628" s="44"/>
      <c r="AM628" s="44"/>
      <c r="AN628" s="44"/>
      <c r="AO628" s="44"/>
    </row>
    <row r="629" spans="35:41" ht="14.25" customHeight="1" x14ac:dyDescent="0.3">
      <c r="AI629" s="44"/>
      <c r="AJ629" s="49"/>
      <c r="AK629" s="44"/>
      <c r="AL629" s="44"/>
      <c r="AM629" s="44"/>
      <c r="AN629" s="44"/>
      <c r="AO629" s="44"/>
    </row>
    <row r="630" spans="35:41" ht="14.25" customHeight="1" x14ac:dyDescent="0.3">
      <c r="AI630" s="44"/>
      <c r="AJ630" s="49"/>
      <c r="AK630" s="44"/>
      <c r="AL630" s="44"/>
      <c r="AM630" s="44"/>
      <c r="AN630" s="44"/>
      <c r="AO630" s="44"/>
    </row>
    <row r="631" spans="35:41" ht="14.25" customHeight="1" x14ac:dyDescent="0.3">
      <c r="AI631" s="44"/>
      <c r="AJ631" s="49"/>
      <c r="AK631" s="44"/>
      <c r="AL631" s="44"/>
      <c r="AM631" s="44"/>
      <c r="AN631" s="44"/>
      <c r="AO631" s="44"/>
    </row>
    <row r="632" spans="35:41" ht="14.25" customHeight="1" x14ac:dyDescent="0.3">
      <c r="AI632" s="44"/>
      <c r="AJ632" s="49"/>
      <c r="AK632" s="44"/>
      <c r="AL632" s="44"/>
      <c r="AM632" s="44"/>
      <c r="AN632" s="44"/>
      <c r="AO632" s="44"/>
    </row>
    <row r="633" spans="35:41" ht="14.25" customHeight="1" x14ac:dyDescent="0.3">
      <c r="AI633" s="44"/>
      <c r="AJ633" s="49"/>
      <c r="AK633" s="44"/>
      <c r="AL633" s="44"/>
      <c r="AM633" s="44"/>
      <c r="AN633" s="44"/>
      <c r="AO633" s="44"/>
    </row>
    <row r="634" spans="35:41" ht="14.25" customHeight="1" x14ac:dyDescent="0.3">
      <c r="AI634" s="44"/>
      <c r="AJ634" s="49"/>
      <c r="AK634" s="44"/>
      <c r="AL634" s="44"/>
      <c r="AM634" s="44"/>
      <c r="AN634" s="44"/>
      <c r="AO634" s="44"/>
    </row>
    <row r="635" spans="35:41" ht="14.25" customHeight="1" x14ac:dyDescent="0.3">
      <c r="AI635" s="44"/>
      <c r="AJ635" s="49"/>
      <c r="AK635" s="44"/>
      <c r="AL635" s="44"/>
      <c r="AM635" s="44"/>
      <c r="AN635" s="44"/>
      <c r="AO635" s="44"/>
    </row>
    <row r="636" spans="35:41" ht="14.25" customHeight="1" x14ac:dyDescent="0.3">
      <c r="AI636" s="44"/>
      <c r="AJ636" s="49"/>
      <c r="AK636" s="44"/>
      <c r="AL636" s="44"/>
      <c r="AM636" s="44"/>
      <c r="AN636" s="44"/>
      <c r="AO636" s="44"/>
    </row>
    <row r="637" spans="35:41" ht="14.25" customHeight="1" x14ac:dyDescent="0.3">
      <c r="AI637" s="44"/>
      <c r="AJ637" s="49"/>
      <c r="AK637" s="44"/>
      <c r="AL637" s="44"/>
      <c r="AM637" s="44"/>
      <c r="AN637" s="44"/>
      <c r="AO637" s="44"/>
    </row>
    <row r="638" spans="35:41" ht="14.25" customHeight="1" x14ac:dyDescent="0.3">
      <c r="AI638" s="44"/>
      <c r="AJ638" s="49"/>
      <c r="AK638" s="44"/>
      <c r="AL638" s="44"/>
      <c r="AM638" s="44"/>
      <c r="AN638" s="44"/>
      <c r="AO638" s="44"/>
    </row>
    <row r="639" spans="35:41" ht="14.25" customHeight="1" x14ac:dyDescent="0.3">
      <c r="AI639" s="44"/>
      <c r="AJ639" s="49"/>
      <c r="AK639" s="44"/>
      <c r="AL639" s="44"/>
      <c r="AM639" s="44"/>
      <c r="AN639" s="44"/>
      <c r="AO639" s="44"/>
    </row>
    <row r="640" spans="35:41" ht="14.25" customHeight="1" x14ac:dyDescent="0.3">
      <c r="AI640" s="44"/>
      <c r="AJ640" s="49"/>
      <c r="AK640" s="44"/>
      <c r="AL640" s="44"/>
      <c r="AM640" s="44"/>
      <c r="AN640" s="44"/>
      <c r="AO640" s="44"/>
    </row>
    <row r="641" spans="35:41" ht="14.25" customHeight="1" x14ac:dyDescent="0.3">
      <c r="AI641" s="44"/>
      <c r="AJ641" s="49"/>
      <c r="AK641" s="44"/>
      <c r="AL641" s="44"/>
      <c r="AM641" s="44"/>
      <c r="AN641" s="44"/>
      <c r="AO641" s="44"/>
    </row>
    <row r="642" spans="35:41" ht="14.25" customHeight="1" x14ac:dyDescent="0.3">
      <c r="AI642" s="44"/>
      <c r="AJ642" s="49"/>
      <c r="AK642" s="44"/>
      <c r="AL642" s="44"/>
      <c r="AM642" s="44"/>
      <c r="AN642" s="44"/>
      <c r="AO642" s="44"/>
    </row>
    <row r="643" spans="35:41" ht="14.25" customHeight="1" x14ac:dyDescent="0.3">
      <c r="AI643" s="44"/>
      <c r="AJ643" s="49"/>
      <c r="AK643" s="44"/>
      <c r="AL643" s="44"/>
      <c r="AM643" s="44"/>
      <c r="AN643" s="44"/>
      <c r="AO643" s="44"/>
    </row>
    <row r="644" spans="35:41" ht="14.25" customHeight="1" x14ac:dyDescent="0.3">
      <c r="AI644" s="44"/>
      <c r="AJ644" s="49"/>
      <c r="AK644" s="44"/>
      <c r="AL644" s="44"/>
      <c r="AM644" s="44"/>
      <c r="AN644" s="44"/>
      <c r="AO644" s="44"/>
    </row>
    <row r="645" spans="35:41" ht="14.25" customHeight="1" x14ac:dyDescent="0.3">
      <c r="AI645" s="44"/>
      <c r="AJ645" s="49"/>
      <c r="AK645" s="44"/>
      <c r="AL645" s="44"/>
      <c r="AM645" s="44"/>
      <c r="AN645" s="44"/>
      <c r="AO645" s="44"/>
    </row>
    <row r="646" spans="35:41" ht="14.25" customHeight="1" x14ac:dyDescent="0.3">
      <c r="AI646" s="44"/>
      <c r="AJ646" s="49"/>
      <c r="AK646" s="44"/>
      <c r="AL646" s="44"/>
      <c r="AM646" s="44"/>
      <c r="AN646" s="44"/>
      <c r="AO646" s="44"/>
    </row>
    <row r="647" spans="35:41" ht="14.25" customHeight="1" x14ac:dyDescent="0.3">
      <c r="AI647" s="44"/>
      <c r="AJ647" s="49"/>
      <c r="AK647" s="44"/>
      <c r="AL647" s="44"/>
      <c r="AM647" s="44"/>
      <c r="AN647" s="44"/>
      <c r="AO647" s="44"/>
    </row>
    <row r="648" spans="35:41" ht="14.25" customHeight="1" x14ac:dyDescent="0.3">
      <c r="AI648" s="44"/>
      <c r="AJ648" s="49"/>
      <c r="AK648" s="44"/>
      <c r="AL648" s="44"/>
      <c r="AM648" s="44"/>
      <c r="AN648" s="44"/>
      <c r="AO648" s="44"/>
    </row>
    <row r="649" spans="35:41" ht="14.25" customHeight="1" x14ac:dyDescent="0.3">
      <c r="AI649" s="44"/>
      <c r="AJ649" s="49"/>
      <c r="AK649" s="44"/>
      <c r="AL649" s="44"/>
      <c r="AM649" s="44"/>
      <c r="AN649" s="44"/>
      <c r="AO649" s="44"/>
    </row>
    <row r="650" spans="35:41" ht="14.25" customHeight="1" x14ac:dyDescent="0.3">
      <c r="AI650" s="44"/>
      <c r="AJ650" s="49"/>
      <c r="AK650" s="44"/>
      <c r="AL650" s="44"/>
      <c r="AM650" s="44"/>
      <c r="AN650" s="44"/>
      <c r="AO650" s="44"/>
    </row>
    <row r="651" spans="35:41" ht="14.25" customHeight="1" x14ac:dyDescent="0.3">
      <c r="AI651" s="44"/>
      <c r="AJ651" s="49"/>
      <c r="AK651" s="44"/>
      <c r="AL651" s="44"/>
      <c r="AM651" s="44"/>
      <c r="AN651" s="44"/>
      <c r="AO651" s="44"/>
    </row>
    <row r="652" spans="35:41" ht="14.25" customHeight="1" x14ac:dyDescent="0.3">
      <c r="AI652" s="44"/>
      <c r="AJ652" s="49"/>
      <c r="AK652" s="44"/>
      <c r="AL652" s="44"/>
      <c r="AM652" s="44"/>
      <c r="AN652" s="44"/>
      <c r="AO652" s="44"/>
    </row>
    <row r="653" spans="35:41" ht="14.25" customHeight="1" x14ac:dyDescent="0.3">
      <c r="AI653" s="44"/>
      <c r="AJ653" s="49"/>
      <c r="AK653" s="44"/>
      <c r="AL653" s="44"/>
      <c r="AM653" s="44"/>
      <c r="AN653" s="44"/>
      <c r="AO653" s="44"/>
    </row>
    <row r="654" spans="35:41" ht="14.25" customHeight="1" x14ac:dyDescent="0.3">
      <c r="AI654" s="44"/>
      <c r="AJ654" s="49"/>
      <c r="AK654" s="44"/>
      <c r="AL654" s="44"/>
      <c r="AM654" s="44"/>
      <c r="AN654" s="44"/>
      <c r="AO654" s="44"/>
    </row>
    <row r="655" spans="35:41" ht="14.25" customHeight="1" x14ac:dyDescent="0.3">
      <c r="AI655" s="44"/>
      <c r="AJ655" s="49"/>
      <c r="AK655" s="44"/>
      <c r="AL655" s="44"/>
      <c r="AM655" s="44"/>
      <c r="AN655" s="44"/>
      <c r="AO655" s="44"/>
    </row>
    <row r="656" spans="35:41" ht="14.25" customHeight="1" x14ac:dyDescent="0.3">
      <c r="AI656" s="44"/>
      <c r="AJ656" s="49"/>
      <c r="AK656" s="44"/>
      <c r="AL656" s="44"/>
      <c r="AM656" s="44"/>
      <c r="AN656" s="44"/>
      <c r="AO656" s="44"/>
    </row>
    <row r="657" spans="35:41" ht="14.25" customHeight="1" x14ac:dyDescent="0.3">
      <c r="AI657" s="44"/>
      <c r="AJ657" s="49"/>
      <c r="AK657" s="44"/>
      <c r="AL657" s="44"/>
      <c r="AM657" s="44"/>
      <c r="AN657" s="44"/>
      <c r="AO657" s="44"/>
    </row>
    <row r="658" spans="35:41" ht="14.25" customHeight="1" x14ac:dyDescent="0.3">
      <c r="AI658" s="44"/>
      <c r="AJ658" s="49"/>
      <c r="AK658" s="44"/>
      <c r="AL658" s="44"/>
      <c r="AM658" s="44"/>
      <c r="AN658" s="44"/>
      <c r="AO658" s="44"/>
    </row>
    <row r="659" spans="35:41" ht="14.25" customHeight="1" x14ac:dyDescent="0.3">
      <c r="AI659" s="44"/>
      <c r="AJ659" s="49"/>
      <c r="AK659" s="44"/>
      <c r="AL659" s="44"/>
      <c r="AM659" s="44"/>
      <c r="AN659" s="44"/>
      <c r="AO659" s="44"/>
    </row>
    <row r="660" spans="35:41" ht="14.25" customHeight="1" x14ac:dyDescent="0.3">
      <c r="AI660" s="44"/>
      <c r="AJ660" s="49"/>
      <c r="AK660" s="44"/>
      <c r="AL660" s="44"/>
      <c r="AM660" s="44"/>
      <c r="AN660" s="44"/>
      <c r="AO660" s="44"/>
    </row>
    <row r="661" spans="35:41" ht="14.25" customHeight="1" x14ac:dyDescent="0.3">
      <c r="AI661" s="44"/>
      <c r="AJ661" s="49"/>
      <c r="AK661" s="44"/>
      <c r="AL661" s="44"/>
      <c r="AM661" s="44"/>
      <c r="AN661" s="44"/>
      <c r="AO661" s="44"/>
    </row>
    <row r="662" spans="35:41" ht="14.25" customHeight="1" x14ac:dyDescent="0.3">
      <c r="AI662" s="44"/>
      <c r="AJ662" s="49"/>
      <c r="AK662" s="44"/>
      <c r="AL662" s="44"/>
      <c r="AM662" s="44"/>
      <c r="AN662" s="44"/>
      <c r="AO662" s="44"/>
    </row>
    <row r="663" spans="35:41" ht="14.25" customHeight="1" x14ac:dyDescent="0.3">
      <c r="AI663" s="44"/>
      <c r="AJ663" s="49"/>
      <c r="AK663" s="44"/>
      <c r="AL663" s="44"/>
      <c r="AM663" s="44"/>
      <c r="AN663" s="44"/>
      <c r="AO663" s="44"/>
    </row>
    <row r="664" spans="35:41" ht="14.25" customHeight="1" x14ac:dyDescent="0.3">
      <c r="AI664" s="44"/>
      <c r="AJ664" s="49"/>
      <c r="AK664" s="44"/>
      <c r="AL664" s="44"/>
      <c r="AM664" s="44"/>
      <c r="AN664" s="44"/>
      <c r="AO664" s="44"/>
    </row>
    <row r="665" spans="35:41" ht="14.25" customHeight="1" x14ac:dyDescent="0.3">
      <c r="AI665" s="44"/>
      <c r="AJ665" s="49"/>
      <c r="AK665" s="44"/>
      <c r="AL665" s="44"/>
      <c r="AM665" s="44"/>
      <c r="AN665" s="44"/>
      <c r="AO665" s="44"/>
    </row>
    <row r="666" spans="35:41" ht="14.25" customHeight="1" x14ac:dyDescent="0.3">
      <c r="AI666" s="44"/>
      <c r="AJ666" s="49"/>
      <c r="AK666" s="44"/>
      <c r="AL666" s="44"/>
      <c r="AM666" s="44"/>
      <c r="AN666" s="44"/>
      <c r="AO666" s="44"/>
    </row>
    <row r="667" spans="35:41" ht="14.25" customHeight="1" x14ac:dyDescent="0.3">
      <c r="AI667" s="44"/>
      <c r="AJ667" s="49"/>
      <c r="AK667" s="44"/>
      <c r="AL667" s="44"/>
      <c r="AM667" s="44"/>
      <c r="AN667" s="44"/>
      <c r="AO667" s="44"/>
    </row>
    <row r="668" spans="35:41" ht="14.25" customHeight="1" x14ac:dyDescent="0.3">
      <c r="AI668" s="44"/>
      <c r="AJ668" s="49"/>
      <c r="AK668" s="44"/>
      <c r="AL668" s="44"/>
      <c r="AM668" s="44"/>
      <c r="AN668" s="44"/>
      <c r="AO668" s="44"/>
    </row>
    <row r="669" spans="35:41" ht="14.25" customHeight="1" x14ac:dyDescent="0.3">
      <c r="AI669" s="44"/>
      <c r="AJ669" s="49"/>
      <c r="AK669" s="44"/>
      <c r="AL669" s="44"/>
      <c r="AM669" s="44"/>
      <c r="AN669" s="44"/>
      <c r="AO669" s="44"/>
    </row>
    <row r="670" spans="35:41" ht="14.25" customHeight="1" x14ac:dyDescent="0.3">
      <c r="AI670" s="44"/>
      <c r="AJ670" s="49"/>
      <c r="AK670" s="44"/>
      <c r="AL670" s="44"/>
      <c r="AM670" s="44"/>
      <c r="AN670" s="44"/>
      <c r="AO670" s="44"/>
    </row>
    <row r="671" spans="35:41" ht="14.25" customHeight="1" x14ac:dyDescent="0.3">
      <c r="AI671" s="44"/>
      <c r="AJ671" s="49"/>
      <c r="AK671" s="44"/>
      <c r="AL671" s="44"/>
      <c r="AM671" s="44"/>
      <c r="AN671" s="44"/>
      <c r="AO671" s="44"/>
    </row>
    <row r="672" spans="35:41" ht="14.25" customHeight="1" x14ac:dyDescent="0.3">
      <c r="AI672" s="44"/>
      <c r="AJ672" s="49"/>
      <c r="AK672" s="44"/>
      <c r="AL672" s="44"/>
      <c r="AM672" s="44"/>
      <c r="AN672" s="44"/>
      <c r="AO672" s="44"/>
    </row>
    <row r="673" spans="35:41" ht="14.25" customHeight="1" x14ac:dyDescent="0.3">
      <c r="AI673" s="44"/>
      <c r="AJ673" s="49"/>
      <c r="AK673" s="44"/>
      <c r="AL673" s="44"/>
      <c r="AM673" s="44"/>
      <c r="AN673" s="44"/>
      <c r="AO673" s="44"/>
    </row>
    <row r="674" spans="35:41" ht="14.25" customHeight="1" x14ac:dyDescent="0.3">
      <c r="AI674" s="44"/>
      <c r="AJ674" s="49"/>
      <c r="AK674" s="44"/>
      <c r="AL674" s="44"/>
      <c r="AM674" s="44"/>
      <c r="AN674" s="44"/>
      <c r="AO674" s="44"/>
    </row>
    <row r="675" spans="35:41" ht="14.25" customHeight="1" x14ac:dyDescent="0.3">
      <c r="AI675" s="44"/>
      <c r="AJ675" s="49"/>
      <c r="AK675" s="44"/>
      <c r="AL675" s="44"/>
      <c r="AM675" s="44"/>
      <c r="AN675" s="44"/>
      <c r="AO675" s="44"/>
    </row>
    <row r="676" spans="35:41" ht="14.25" customHeight="1" x14ac:dyDescent="0.3">
      <c r="AI676" s="44"/>
      <c r="AJ676" s="49"/>
      <c r="AK676" s="44"/>
      <c r="AL676" s="44"/>
      <c r="AM676" s="44"/>
      <c r="AN676" s="44"/>
      <c r="AO676" s="44"/>
    </row>
    <row r="677" spans="35:41" ht="14.25" customHeight="1" x14ac:dyDescent="0.3">
      <c r="AI677" s="44"/>
      <c r="AJ677" s="49"/>
      <c r="AK677" s="44"/>
      <c r="AL677" s="44"/>
      <c r="AM677" s="44"/>
      <c r="AN677" s="44"/>
      <c r="AO677" s="44"/>
    </row>
    <row r="678" spans="35:41" ht="14.25" customHeight="1" x14ac:dyDescent="0.3">
      <c r="AI678" s="44"/>
      <c r="AJ678" s="49"/>
      <c r="AK678" s="44"/>
      <c r="AL678" s="44"/>
      <c r="AM678" s="44"/>
      <c r="AN678" s="44"/>
      <c r="AO678" s="44"/>
    </row>
    <row r="679" spans="35:41" ht="14.25" customHeight="1" x14ac:dyDescent="0.3">
      <c r="AI679" s="44"/>
      <c r="AJ679" s="49"/>
      <c r="AK679" s="44"/>
      <c r="AL679" s="44"/>
      <c r="AM679" s="44"/>
      <c r="AN679" s="44"/>
      <c r="AO679" s="44"/>
    </row>
    <row r="680" spans="35:41" ht="14.25" customHeight="1" x14ac:dyDescent="0.3">
      <c r="AI680" s="44"/>
      <c r="AJ680" s="49"/>
      <c r="AK680" s="44"/>
      <c r="AL680" s="44"/>
      <c r="AM680" s="44"/>
      <c r="AN680" s="44"/>
      <c r="AO680" s="44"/>
    </row>
    <row r="681" spans="35:41" ht="14.25" customHeight="1" x14ac:dyDescent="0.3">
      <c r="AI681" s="44"/>
      <c r="AJ681" s="49"/>
      <c r="AK681" s="44"/>
      <c r="AL681" s="44"/>
      <c r="AM681" s="44"/>
      <c r="AN681" s="44"/>
      <c r="AO681" s="44"/>
    </row>
    <row r="682" spans="35:41" ht="14.25" customHeight="1" x14ac:dyDescent="0.3">
      <c r="AI682" s="44"/>
      <c r="AJ682" s="49"/>
      <c r="AK682" s="44"/>
      <c r="AL682" s="44"/>
      <c r="AM682" s="44"/>
      <c r="AN682" s="44"/>
      <c r="AO682" s="44"/>
    </row>
    <row r="683" spans="35:41" ht="14.25" customHeight="1" x14ac:dyDescent="0.3">
      <c r="AI683" s="44"/>
      <c r="AJ683" s="49"/>
      <c r="AK683" s="44"/>
      <c r="AL683" s="44"/>
      <c r="AM683" s="44"/>
      <c r="AN683" s="44"/>
      <c r="AO683" s="44"/>
    </row>
    <row r="684" spans="35:41" ht="14.25" customHeight="1" x14ac:dyDescent="0.3">
      <c r="AI684" s="44"/>
      <c r="AJ684" s="49"/>
      <c r="AK684" s="44"/>
      <c r="AL684" s="44"/>
      <c r="AM684" s="44"/>
      <c r="AN684" s="44"/>
      <c r="AO684" s="44"/>
    </row>
    <row r="685" spans="35:41" ht="14.25" customHeight="1" x14ac:dyDescent="0.3">
      <c r="AI685" s="44"/>
      <c r="AJ685" s="49"/>
      <c r="AK685" s="44"/>
      <c r="AL685" s="44"/>
      <c r="AM685" s="44"/>
      <c r="AN685" s="44"/>
      <c r="AO685" s="44"/>
    </row>
    <row r="686" spans="35:41" ht="14.25" customHeight="1" x14ac:dyDescent="0.3">
      <c r="AI686" s="44"/>
      <c r="AJ686" s="49"/>
      <c r="AK686" s="44"/>
      <c r="AL686" s="44"/>
      <c r="AM686" s="44"/>
      <c r="AN686" s="44"/>
      <c r="AO686" s="44"/>
    </row>
    <row r="687" spans="35:41" ht="14.25" customHeight="1" x14ac:dyDescent="0.3">
      <c r="AI687" s="44"/>
      <c r="AJ687" s="49"/>
      <c r="AK687" s="44"/>
      <c r="AL687" s="44"/>
      <c r="AM687" s="44"/>
      <c r="AN687" s="44"/>
      <c r="AO687" s="44"/>
    </row>
    <row r="688" spans="35:41" ht="14.25" customHeight="1" x14ac:dyDescent="0.3">
      <c r="AI688" s="44"/>
      <c r="AJ688" s="49"/>
      <c r="AK688" s="44"/>
      <c r="AL688" s="44"/>
      <c r="AM688" s="44"/>
      <c r="AN688" s="44"/>
      <c r="AO688" s="44"/>
    </row>
    <row r="689" spans="35:41" ht="14.25" customHeight="1" x14ac:dyDescent="0.3">
      <c r="AI689" s="44"/>
      <c r="AJ689" s="49"/>
      <c r="AK689" s="44"/>
      <c r="AL689" s="44"/>
      <c r="AM689" s="44"/>
      <c r="AN689" s="44"/>
      <c r="AO689" s="44"/>
    </row>
    <row r="690" spans="35:41" ht="14.25" customHeight="1" x14ac:dyDescent="0.3">
      <c r="AI690" s="44"/>
      <c r="AJ690" s="49"/>
      <c r="AK690" s="44"/>
      <c r="AL690" s="44"/>
      <c r="AM690" s="44"/>
      <c r="AN690" s="44"/>
      <c r="AO690" s="44"/>
    </row>
    <row r="691" spans="35:41" ht="14.25" customHeight="1" x14ac:dyDescent="0.3">
      <c r="AI691" s="44"/>
      <c r="AJ691" s="49"/>
      <c r="AK691" s="44"/>
      <c r="AL691" s="44"/>
      <c r="AM691" s="44"/>
      <c r="AN691" s="44"/>
      <c r="AO691" s="44"/>
    </row>
    <row r="692" spans="35:41" ht="14.25" customHeight="1" x14ac:dyDescent="0.3">
      <c r="AI692" s="44"/>
      <c r="AJ692" s="49"/>
      <c r="AK692" s="44"/>
      <c r="AL692" s="44"/>
      <c r="AM692" s="44"/>
      <c r="AN692" s="44"/>
      <c r="AO692" s="44"/>
    </row>
    <row r="693" spans="35:41" ht="14.25" customHeight="1" x14ac:dyDescent="0.3">
      <c r="AI693" s="44"/>
      <c r="AJ693" s="49"/>
      <c r="AK693" s="44"/>
      <c r="AL693" s="44"/>
      <c r="AM693" s="44"/>
      <c r="AN693" s="44"/>
      <c r="AO693" s="44"/>
    </row>
    <row r="694" spans="35:41" ht="14.25" customHeight="1" x14ac:dyDescent="0.3">
      <c r="AI694" s="44"/>
      <c r="AJ694" s="49"/>
      <c r="AK694" s="44"/>
      <c r="AL694" s="44"/>
      <c r="AM694" s="44"/>
      <c r="AN694" s="44"/>
      <c r="AO694" s="44"/>
    </row>
    <row r="695" spans="35:41" ht="14.25" customHeight="1" x14ac:dyDescent="0.3">
      <c r="AI695" s="44"/>
      <c r="AJ695" s="49"/>
      <c r="AK695" s="44"/>
      <c r="AL695" s="44"/>
      <c r="AM695" s="44"/>
      <c r="AN695" s="44"/>
      <c r="AO695" s="44"/>
    </row>
    <row r="696" spans="35:41" ht="14.25" customHeight="1" x14ac:dyDescent="0.3">
      <c r="AI696" s="44"/>
      <c r="AJ696" s="49"/>
      <c r="AK696" s="44"/>
      <c r="AL696" s="44"/>
      <c r="AM696" s="44"/>
      <c r="AN696" s="44"/>
      <c r="AO696" s="44"/>
    </row>
    <row r="697" spans="35:41" ht="14.25" customHeight="1" x14ac:dyDescent="0.3">
      <c r="AI697" s="44"/>
      <c r="AJ697" s="49"/>
      <c r="AK697" s="44"/>
      <c r="AL697" s="44"/>
      <c r="AM697" s="44"/>
      <c r="AN697" s="44"/>
      <c r="AO697" s="44"/>
    </row>
    <row r="698" spans="35:41" ht="14.25" customHeight="1" x14ac:dyDescent="0.3">
      <c r="AI698" s="44"/>
      <c r="AJ698" s="49"/>
      <c r="AK698" s="44"/>
      <c r="AL698" s="44"/>
      <c r="AM698" s="44"/>
      <c r="AN698" s="44"/>
      <c r="AO698" s="44"/>
    </row>
    <row r="699" spans="35:41" ht="14.25" customHeight="1" x14ac:dyDescent="0.3">
      <c r="AI699" s="44"/>
      <c r="AJ699" s="49"/>
      <c r="AK699" s="44"/>
      <c r="AL699" s="44"/>
      <c r="AM699" s="44"/>
      <c r="AN699" s="44"/>
      <c r="AO699" s="44"/>
    </row>
    <row r="700" spans="35:41" ht="14.25" customHeight="1" x14ac:dyDescent="0.3">
      <c r="AI700" s="44"/>
      <c r="AJ700" s="49"/>
      <c r="AK700" s="44"/>
      <c r="AL700" s="44"/>
      <c r="AM700" s="44"/>
      <c r="AN700" s="44"/>
      <c r="AO700" s="44"/>
    </row>
    <row r="701" spans="35:41" ht="14.25" customHeight="1" x14ac:dyDescent="0.3">
      <c r="AI701" s="44"/>
      <c r="AJ701" s="49"/>
      <c r="AK701" s="44"/>
      <c r="AL701" s="44"/>
      <c r="AM701" s="44"/>
      <c r="AN701" s="44"/>
      <c r="AO701" s="44"/>
    </row>
    <row r="702" spans="35:41" ht="14.25" customHeight="1" x14ac:dyDescent="0.3">
      <c r="AI702" s="44"/>
      <c r="AJ702" s="49"/>
      <c r="AK702" s="44"/>
      <c r="AL702" s="44"/>
      <c r="AM702" s="44"/>
      <c r="AN702" s="44"/>
      <c r="AO702" s="44"/>
    </row>
    <row r="703" spans="35:41" ht="14.25" customHeight="1" x14ac:dyDescent="0.3">
      <c r="AI703" s="44"/>
      <c r="AJ703" s="49"/>
      <c r="AK703" s="44"/>
      <c r="AL703" s="44"/>
      <c r="AM703" s="44"/>
      <c r="AN703" s="44"/>
      <c r="AO703" s="44"/>
    </row>
    <row r="704" spans="35:41" ht="14.25" customHeight="1" x14ac:dyDescent="0.3">
      <c r="AI704" s="44"/>
      <c r="AJ704" s="49"/>
      <c r="AK704" s="44"/>
      <c r="AL704" s="44"/>
      <c r="AM704" s="44"/>
      <c r="AN704" s="44"/>
      <c r="AO704" s="44"/>
    </row>
    <row r="705" spans="35:41" ht="14.25" customHeight="1" x14ac:dyDescent="0.3">
      <c r="AI705" s="44"/>
      <c r="AJ705" s="49"/>
      <c r="AK705" s="44"/>
      <c r="AL705" s="44"/>
      <c r="AM705" s="44"/>
      <c r="AN705" s="44"/>
      <c r="AO705" s="44"/>
    </row>
    <row r="706" spans="35:41" ht="14.25" customHeight="1" x14ac:dyDescent="0.3">
      <c r="AI706" s="44"/>
      <c r="AJ706" s="49"/>
      <c r="AK706" s="44"/>
      <c r="AL706" s="44"/>
      <c r="AM706" s="44"/>
      <c r="AN706" s="44"/>
      <c r="AO706" s="44"/>
    </row>
    <row r="707" spans="35:41" ht="14.25" customHeight="1" x14ac:dyDescent="0.3">
      <c r="AI707" s="44"/>
      <c r="AJ707" s="49"/>
      <c r="AK707" s="44"/>
      <c r="AL707" s="44"/>
      <c r="AM707" s="44"/>
      <c r="AN707" s="44"/>
      <c r="AO707" s="44"/>
    </row>
    <row r="708" spans="35:41" ht="14.25" customHeight="1" x14ac:dyDescent="0.3">
      <c r="AI708" s="44"/>
      <c r="AJ708" s="49"/>
      <c r="AK708" s="44"/>
      <c r="AL708" s="44"/>
      <c r="AM708" s="44"/>
      <c r="AN708" s="44"/>
      <c r="AO708" s="44"/>
    </row>
    <row r="709" spans="35:41" ht="14.25" customHeight="1" x14ac:dyDescent="0.3">
      <c r="AI709" s="44"/>
      <c r="AJ709" s="49"/>
      <c r="AK709" s="44"/>
      <c r="AL709" s="44"/>
      <c r="AM709" s="44"/>
      <c r="AN709" s="44"/>
      <c r="AO709" s="44"/>
    </row>
    <row r="710" spans="35:41" ht="14.25" customHeight="1" x14ac:dyDescent="0.3">
      <c r="AI710" s="44"/>
      <c r="AJ710" s="49"/>
      <c r="AK710" s="44"/>
      <c r="AL710" s="44"/>
      <c r="AM710" s="44"/>
      <c r="AN710" s="44"/>
      <c r="AO710" s="44"/>
    </row>
    <row r="711" spans="35:41" ht="14.25" customHeight="1" x14ac:dyDescent="0.3">
      <c r="AI711" s="44"/>
      <c r="AJ711" s="49"/>
      <c r="AK711" s="44"/>
      <c r="AL711" s="44"/>
      <c r="AM711" s="44"/>
      <c r="AN711" s="44"/>
      <c r="AO711" s="44"/>
    </row>
    <row r="712" spans="35:41" ht="14.25" customHeight="1" x14ac:dyDescent="0.3">
      <c r="AI712" s="44"/>
      <c r="AJ712" s="49"/>
      <c r="AK712" s="44"/>
      <c r="AL712" s="44"/>
      <c r="AM712" s="44"/>
      <c r="AN712" s="44"/>
      <c r="AO712" s="44"/>
    </row>
    <row r="713" spans="35:41" ht="14.25" customHeight="1" x14ac:dyDescent="0.3">
      <c r="AI713" s="44"/>
      <c r="AJ713" s="49"/>
      <c r="AK713" s="44"/>
      <c r="AL713" s="44"/>
      <c r="AM713" s="44"/>
      <c r="AN713" s="44"/>
      <c r="AO713" s="44"/>
    </row>
    <row r="714" spans="35:41" ht="14.25" customHeight="1" x14ac:dyDescent="0.3">
      <c r="AI714" s="44"/>
      <c r="AJ714" s="49"/>
      <c r="AK714" s="44"/>
      <c r="AL714" s="44"/>
      <c r="AM714" s="44"/>
      <c r="AN714" s="44"/>
      <c r="AO714" s="44"/>
    </row>
    <row r="715" spans="35:41" ht="14.25" customHeight="1" x14ac:dyDescent="0.3">
      <c r="AI715" s="44"/>
      <c r="AJ715" s="49"/>
      <c r="AK715" s="44"/>
      <c r="AL715" s="44"/>
      <c r="AM715" s="44"/>
      <c r="AN715" s="44"/>
      <c r="AO715" s="44"/>
    </row>
    <row r="716" spans="35:41" ht="14.25" customHeight="1" x14ac:dyDescent="0.3">
      <c r="AI716" s="44"/>
      <c r="AJ716" s="49"/>
      <c r="AK716" s="44"/>
      <c r="AL716" s="44"/>
      <c r="AM716" s="44"/>
      <c r="AN716" s="44"/>
      <c r="AO716" s="44"/>
    </row>
    <row r="717" spans="35:41" ht="14.25" customHeight="1" x14ac:dyDescent="0.3">
      <c r="AI717" s="44"/>
      <c r="AJ717" s="49"/>
      <c r="AK717" s="44"/>
      <c r="AL717" s="44"/>
      <c r="AM717" s="44"/>
      <c r="AN717" s="44"/>
      <c r="AO717" s="44"/>
    </row>
    <row r="718" spans="35:41" ht="14.25" customHeight="1" x14ac:dyDescent="0.3">
      <c r="AI718" s="44"/>
      <c r="AJ718" s="49"/>
      <c r="AK718" s="44"/>
      <c r="AL718" s="44"/>
      <c r="AM718" s="44"/>
      <c r="AN718" s="44"/>
      <c r="AO718" s="44"/>
    </row>
    <row r="719" spans="35:41" ht="14.25" customHeight="1" x14ac:dyDescent="0.3">
      <c r="AI719" s="44"/>
      <c r="AJ719" s="49"/>
      <c r="AK719" s="44"/>
      <c r="AL719" s="44"/>
      <c r="AM719" s="44"/>
      <c r="AN719" s="44"/>
      <c r="AO719" s="44"/>
    </row>
    <row r="720" spans="35:41" ht="14.25" customHeight="1" x14ac:dyDescent="0.3">
      <c r="AI720" s="44"/>
      <c r="AJ720" s="49"/>
      <c r="AK720" s="44"/>
      <c r="AL720" s="44"/>
      <c r="AM720" s="44"/>
      <c r="AN720" s="44"/>
      <c r="AO720" s="44"/>
    </row>
    <row r="721" spans="35:41" ht="14.25" customHeight="1" x14ac:dyDescent="0.3">
      <c r="AI721" s="44"/>
      <c r="AJ721" s="49"/>
      <c r="AK721" s="44"/>
      <c r="AL721" s="44"/>
      <c r="AM721" s="44"/>
      <c r="AN721" s="44"/>
      <c r="AO721" s="44"/>
    </row>
    <row r="722" spans="35:41" ht="14.25" customHeight="1" x14ac:dyDescent="0.3">
      <c r="AI722" s="44"/>
      <c r="AJ722" s="49"/>
      <c r="AK722" s="44"/>
      <c r="AL722" s="44"/>
      <c r="AM722" s="44"/>
      <c r="AN722" s="44"/>
      <c r="AO722" s="44"/>
    </row>
    <row r="723" spans="35:41" ht="14.25" customHeight="1" x14ac:dyDescent="0.3">
      <c r="AI723" s="44"/>
      <c r="AJ723" s="49"/>
      <c r="AK723" s="44"/>
      <c r="AL723" s="44"/>
      <c r="AM723" s="44"/>
      <c r="AN723" s="44"/>
      <c r="AO723" s="44"/>
    </row>
    <row r="724" spans="35:41" ht="14.25" customHeight="1" x14ac:dyDescent="0.3">
      <c r="AI724" s="44"/>
      <c r="AJ724" s="49"/>
      <c r="AK724" s="44"/>
      <c r="AL724" s="44"/>
      <c r="AM724" s="44"/>
      <c r="AN724" s="44"/>
      <c r="AO724" s="44"/>
    </row>
    <row r="725" spans="35:41" ht="14.25" customHeight="1" x14ac:dyDescent="0.3">
      <c r="AI725" s="44"/>
      <c r="AJ725" s="49"/>
      <c r="AK725" s="44"/>
      <c r="AL725" s="44"/>
      <c r="AM725" s="44"/>
      <c r="AN725" s="44"/>
      <c r="AO725" s="44"/>
    </row>
    <row r="726" spans="35:41" ht="14.25" customHeight="1" x14ac:dyDescent="0.3">
      <c r="AI726" s="44"/>
      <c r="AJ726" s="49"/>
      <c r="AK726" s="44"/>
      <c r="AL726" s="44"/>
      <c r="AM726" s="44"/>
      <c r="AN726" s="44"/>
      <c r="AO726" s="44"/>
    </row>
    <row r="727" spans="35:41" ht="14.25" customHeight="1" x14ac:dyDescent="0.3">
      <c r="AI727" s="44"/>
      <c r="AJ727" s="49"/>
      <c r="AK727" s="44"/>
      <c r="AL727" s="44"/>
      <c r="AM727" s="44"/>
      <c r="AN727" s="44"/>
      <c r="AO727" s="44"/>
    </row>
    <row r="728" spans="35:41" ht="14.25" customHeight="1" x14ac:dyDescent="0.3">
      <c r="AI728" s="44"/>
      <c r="AJ728" s="49"/>
      <c r="AK728" s="44"/>
      <c r="AL728" s="44"/>
      <c r="AM728" s="44"/>
      <c r="AN728" s="44"/>
      <c r="AO728" s="44"/>
    </row>
    <row r="729" spans="35:41" ht="14.25" customHeight="1" x14ac:dyDescent="0.3">
      <c r="AI729" s="44"/>
      <c r="AJ729" s="49"/>
      <c r="AK729" s="44"/>
      <c r="AL729" s="44"/>
      <c r="AM729" s="44"/>
      <c r="AN729" s="44"/>
      <c r="AO729" s="44"/>
    </row>
    <row r="730" spans="35:41" ht="14.25" customHeight="1" x14ac:dyDescent="0.3">
      <c r="AI730" s="44"/>
      <c r="AJ730" s="49"/>
      <c r="AK730" s="44"/>
      <c r="AL730" s="44"/>
      <c r="AM730" s="44"/>
      <c r="AN730" s="44"/>
      <c r="AO730" s="44"/>
    </row>
    <row r="731" spans="35:41" ht="14.25" customHeight="1" x14ac:dyDescent="0.3">
      <c r="AI731" s="44"/>
      <c r="AJ731" s="49"/>
      <c r="AK731" s="44"/>
      <c r="AL731" s="44"/>
      <c r="AM731" s="44"/>
      <c r="AN731" s="44"/>
      <c r="AO731" s="44"/>
    </row>
    <row r="732" spans="35:41" ht="14.25" customHeight="1" x14ac:dyDescent="0.3">
      <c r="AI732" s="44"/>
      <c r="AJ732" s="49"/>
      <c r="AK732" s="44"/>
      <c r="AL732" s="44"/>
      <c r="AM732" s="44"/>
      <c r="AN732" s="44"/>
      <c r="AO732" s="44"/>
    </row>
    <row r="733" spans="35:41" ht="14.25" customHeight="1" x14ac:dyDescent="0.3">
      <c r="AI733" s="44"/>
      <c r="AJ733" s="49"/>
      <c r="AK733" s="44"/>
      <c r="AL733" s="44"/>
      <c r="AM733" s="44"/>
      <c r="AN733" s="44"/>
      <c r="AO733" s="44"/>
    </row>
    <row r="734" spans="35:41" ht="14.25" customHeight="1" x14ac:dyDescent="0.3">
      <c r="AI734" s="44"/>
      <c r="AJ734" s="49"/>
      <c r="AK734" s="44"/>
      <c r="AL734" s="44"/>
      <c r="AM734" s="44"/>
      <c r="AN734" s="44"/>
      <c r="AO734" s="44"/>
    </row>
    <row r="735" spans="35:41" ht="14.25" customHeight="1" x14ac:dyDescent="0.3">
      <c r="AI735" s="44"/>
      <c r="AJ735" s="49"/>
      <c r="AK735" s="44"/>
      <c r="AL735" s="44"/>
      <c r="AM735" s="44"/>
      <c r="AN735" s="44"/>
      <c r="AO735" s="44"/>
    </row>
    <row r="736" spans="35:41" ht="14.25" customHeight="1" x14ac:dyDescent="0.3">
      <c r="AI736" s="44"/>
      <c r="AJ736" s="49"/>
      <c r="AK736" s="44"/>
      <c r="AL736" s="44"/>
      <c r="AM736" s="44"/>
      <c r="AN736" s="44"/>
      <c r="AO736" s="44"/>
    </row>
    <row r="737" spans="35:41" ht="14.25" customHeight="1" x14ac:dyDescent="0.3">
      <c r="AI737" s="44"/>
      <c r="AJ737" s="49"/>
      <c r="AK737" s="44"/>
      <c r="AL737" s="44"/>
      <c r="AM737" s="44"/>
      <c r="AN737" s="44"/>
      <c r="AO737" s="44"/>
    </row>
    <row r="738" spans="35:41" ht="14.25" customHeight="1" x14ac:dyDescent="0.3">
      <c r="AI738" s="44"/>
      <c r="AJ738" s="49"/>
      <c r="AK738" s="44"/>
      <c r="AL738" s="44"/>
      <c r="AM738" s="44"/>
      <c r="AN738" s="44"/>
      <c r="AO738" s="44"/>
    </row>
    <row r="739" spans="35:41" ht="14.25" customHeight="1" x14ac:dyDescent="0.3">
      <c r="AI739" s="44"/>
      <c r="AJ739" s="49"/>
      <c r="AK739" s="44"/>
      <c r="AL739" s="44"/>
      <c r="AM739" s="44"/>
      <c r="AN739" s="44"/>
      <c r="AO739" s="44"/>
    </row>
    <row r="740" spans="35:41" ht="14.25" customHeight="1" x14ac:dyDescent="0.3">
      <c r="AI740" s="44"/>
      <c r="AJ740" s="49"/>
      <c r="AK740" s="44"/>
      <c r="AL740" s="44"/>
      <c r="AM740" s="44"/>
      <c r="AN740" s="44"/>
      <c r="AO740" s="44"/>
    </row>
    <row r="741" spans="35:41" ht="14.25" customHeight="1" x14ac:dyDescent="0.3">
      <c r="AI741" s="44"/>
      <c r="AJ741" s="49"/>
      <c r="AK741" s="44"/>
      <c r="AL741" s="44"/>
      <c r="AM741" s="44"/>
      <c r="AN741" s="44"/>
      <c r="AO741" s="44"/>
    </row>
    <row r="742" spans="35:41" ht="14.25" customHeight="1" x14ac:dyDescent="0.3">
      <c r="AI742" s="44"/>
      <c r="AJ742" s="49"/>
      <c r="AK742" s="44"/>
      <c r="AL742" s="44"/>
      <c r="AM742" s="44"/>
      <c r="AN742" s="44"/>
      <c r="AO742" s="44"/>
    </row>
    <row r="743" spans="35:41" ht="14.25" customHeight="1" x14ac:dyDescent="0.3">
      <c r="AI743" s="44"/>
      <c r="AJ743" s="49"/>
      <c r="AK743" s="44"/>
      <c r="AL743" s="44"/>
      <c r="AM743" s="44"/>
      <c r="AN743" s="44"/>
      <c r="AO743" s="44"/>
    </row>
    <row r="744" spans="35:41" ht="14.25" customHeight="1" x14ac:dyDescent="0.3">
      <c r="AI744" s="44"/>
      <c r="AJ744" s="49"/>
      <c r="AK744" s="44"/>
      <c r="AL744" s="44"/>
      <c r="AM744" s="44"/>
      <c r="AN744" s="44"/>
      <c r="AO744" s="44"/>
    </row>
    <row r="745" spans="35:41" ht="14.25" customHeight="1" x14ac:dyDescent="0.3">
      <c r="AI745" s="44"/>
      <c r="AJ745" s="49"/>
      <c r="AK745" s="44"/>
      <c r="AL745" s="44"/>
      <c r="AM745" s="44"/>
      <c r="AN745" s="44"/>
      <c r="AO745" s="44"/>
    </row>
    <row r="746" spans="35:41" ht="14.25" customHeight="1" x14ac:dyDescent="0.3">
      <c r="AI746" s="44"/>
      <c r="AJ746" s="49"/>
      <c r="AK746" s="44"/>
      <c r="AL746" s="44"/>
      <c r="AM746" s="44"/>
      <c r="AN746" s="44"/>
      <c r="AO746" s="44"/>
    </row>
    <row r="747" spans="35:41" ht="14.25" customHeight="1" x14ac:dyDescent="0.3">
      <c r="AI747" s="44"/>
      <c r="AJ747" s="49"/>
      <c r="AK747" s="44"/>
      <c r="AL747" s="44"/>
      <c r="AM747" s="44"/>
      <c r="AN747" s="44"/>
      <c r="AO747" s="44"/>
    </row>
    <row r="748" spans="35:41" ht="14.25" customHeight="1" x14ac:dyDescent="0.3">
      <c r="AI748" s="44"/>
      <c r="AJ748" s="49"/>
      <c r="AK748" s="44"/>
      <c r="AL748" s="44"/>
      <c r="AM748" s="44"/>
      <c r="AN748" s="44"/>
      <c r="AO748" s="44"/>
    </row>
    <row r="749" spans="35:41" ht="14.25" customHeight="1" x14ac:dyDescent="0.3">
      <c r="AI749" s="44"/>
      <c r="AJ749" s="49"/>
      <c r="AK749" s="44"/>
      <c r="AL749" s="44"/>
      <c r="AM749" s="44"/>
      <c r="AN749" s="44"/>
      <c r="AO749" s="44"/>
    </row>
    <row r="750" spans="35:41" ht="14.25" customHeight="1" x14ac:dyDescent="0.3">
      <c r="AI750" s="44"/>
      <c r="AJ750" s="49"/>
      <c r="AK750" s="44"/>
      <c r="AL750" s="44"/>
      <c r="AM750" s="44"/>
      <c r="AN750" s="44"/>
      <c r="AO750" s="44"/>
    </row>
    <row r="751" spans="35:41" ht="14.25" customHeight="1" x14ac:dyDescent="0.3">
      <c r="AI751" s="44"/>
      <c r="AJ751" s="49"/>
      <c r="AK751" s="44"/>
      <c r="AL751" s="44"/>
      <c r="AM751" s="44"/>
      <c r="AN751" s="44"/>
      <c r="AO751" s="44"/>
    </row>
    <row r="752" spans="35:41" ht="14.25" customHeight="1" x14ac:dyDescent="0.3">
      <c r="AI752" s="44"/>
      <c r="AJ752" s="49"/>
      <c r="AK752" s="44"/>
      <c r="AL752" s="44"/>
      <c r="AM752" s="44"/>
      <c r="AN752" s="44"/>
      <c r="AO752" s="44"/>
    </row>
    <row r="753" spans="35:41" ht="14.25" customHeight="1" x14ac:dyDescent="0.3">
      <c r="AI753" s="44"/>
      <c r="AJ753" s="49"/>
      <c r="AK753" s="44"/>
      <c r="AL753" s="44"/>
      <c r="AM753" s="44"/>
      <c r="AN753" s="44"/>
      <c r="AO753" s="44"/>
    </row>
    <row r="754" spans="35:41" ht="14.25" customHeight="1" x14ac:dyDescent="0.3">
      <c r="AI754" s="44"/>
      <c r="AJ754" s="49"/>
      <c r="AK754" s="44"/>
      <c r="AL754" s="44"/>
      <c r="AM754" s="44"/>
      <c r="AN754" s="44"/>
      <c r="AO754" s="44"/>
    </row>
    <row r="755" spans="35:41" ht="14.25" customHeight="1" x14ac:dyDescent="0.3">
      <c r="AI755" s="44"/>
      <c r="AJ755" s="49"/>
      <c r="AK755" s="44"/>
      <c r="AL755" s="44"/>
      <c r="AM755" s="44"/>
      <c r="AN755" s="44"/>
      <c r="AO755" s="44"/>
    </row>
    <row r="756" spans="35:41" ht="14.25" customHeight="1" x14ac:dyDescent="0.3">
      <c r="AI756" s="44"/>
      <c r="AJ756" s="49"/>
      <c r="AK756" s="44"/>
      <c r="AL756" s="44"/>
      <c r="AM756" s="44"/>
      <c r="AN756" s="44"/>
      <c r="AO756" s="44"/>
    </row>
    <row r="757" spans="35:41" ht="14.25" customHeight="1" x14ac:dyDescent="0.3">
      <c r="AI757" s="44"/>
      <c r="AJ757" s="49"/>
      <c r="AK757" s="44"/>
      <c r="AL757" s="44"/>
      <c r="AM757" s="44"/>
      <c r="AN757" s="44"/>
      <c r="AO757" s="44"/>
    </row>
    <row r="758" spans="35:41" ht="14.25" customHeight="1" x14ac:dyDescent="0.3">
      <c r="AI758" s="44"/>
      <c r="AJ758" s="49"/>
      <c r="AK758" s="44"/>
      <c r="AL758" s="44"/>
      <c r="AM758" s="44"/>
      <c r="AN758" s="44"/>
      <c r="AO758" s="44"/>
    </row>
    <row r="759" spans="35:41" ht="14.25" customHeight="1" x14ac:dyDescent="0.3">
      <c r="AI759" s="44"/>
      <c r="AJ759" s="49"/>
      <c r="AK759" s="44"/>
      <c r="AL759" s="44"/>
      <c r="AM759" s="44"/>
      <c r="AN759" s="44"/>
      <c r="AO759" s="44"/>
    </row>
    <row r="760" spans="35:41" ht="14.25" customHeight="1" x14ac:dyDescent="0.3">
      <c r="AI760" s="44"/>
      <c r="AJ760" s="49"/>
      <c r="AK760" s="44"/>
      <c r="AL760" s="44"/>
      <c r="AM760" s="44"/>
      <c r="AN760" s="44"/>
      <c r="AO760" s="44"/>
    </row>
    <row r="761" spans="35:41" ht="14.25" customHeight="1" x14ac:dyDescent="0.3">
      <c r="AI761" s="44"/>
      <c r="AJ761" s="49"/>
      <c r="AK761" s="44"/>
      <c r="AL761" s="44"/>
      <c r="AM761" s="44"/>
      <c r="AN761" s="44"/>
      <c r="AO761" s="44"/>
    </row>
    <row r="762" spans="35:41" ht="14.25" customHeight="1" x14ac:dyDescent="0.3">
      <c r="AI762" s="44"/>
      <c r="AJ762" s="49"/>
      <c r="AK762" s="44"/>
      <c r="AL762" s="44"/>
      <c r="AM762" s="44"/>
      <c r="AN762" s="44"/>
      <c r="AO762" s="44"/>
    </row>
    <row r="763" spans="35:41" ht="14.25" customHeight="1" x14ac:dyDescent="0.3">
      <c r="AI763" s="44"/>
      <c r="AJ763" s="49"/>
      <c r="AK763" s="44"/>
      <c r="AL763" s="44"/>
      <c r="AM763" s="44"/>
      <c r="AN763" s="44"/>
      <c r="AO763" s="44"/>
    </row>
    <row r="764" spans="35:41" ht="14.25" customHeight="1" x14ac:dyDescent="0.3">
      <c r="AI764" s="44"/>
      <c r="AJ764" s="49"/>
      <c r="AK764" s="44"/>
      <c r="AL764" s="44"/>
      <c r="AM764" s="44"/>
      <c r="AN764" s="44"/>
      <c r="AO764" s="44"/>
    </row>
    <row r="765" spans="35:41" ht="14.25" customHeight="1" x14ac:dyDescent="0.3">
      <c r="AI765" s="44"/>
      <c r="AJ765" s="49"/>
      <c r="AK765" s="44"/>
      <c r="AL765" s="44"/>
      <c r="AM765" s="44"/>
      <c r="AN765" s="44"/>
      <c r="AO765" s="44"/>
    </row>
    <row r="766" spans="35:41" ht="14.25" customHeight="1" x14ac:dyDescent="0.3">
      <c r="AI766" s="44"/>
      <c r="AJ766" s="49"/>
      <c r="AK766" s="44"/>
      <c r="AL766" s="44"/>
      <c r="AM766" s="44"/>
      <c r="AN766" s="44"/>
      <c r="AO766" s="44"/>
    </row>
    <row r="767" spans="35:41" ht="14.25" customHeight="1" x14ac:dyDescent="0.3">
      <c r="AI767" s="44"/>
      <c r="AJ767" s="49"/>
      <c r="AK767" s="44"/>
      <c r="AL767" s="44"/>
      <c r="AM767" s="44"/>
      <c r="AN767" s="44"/>
      <c r="AO767" s="44"/>
    </row>
    <row r="768" spans="35:41" ht="14.25" customHeight="1" x14ac:dyDescent="0.3">
      <c r="AI768" s="44"/>
      <c r="AJ768" s="49"/>
      <c r="AK768" s="44"/>
      <c r="AL768" s="44"/>
      <c r="AM768" s="44"/>
      <c r="AN768" s="44"/>
      <c r="AO768" s="44"/>
    </row>
    <row r="769" spans="35:41" ht="14.25" customHeight="1" x14ac:dyDescent="0.3">
      <c r="AI769" s="44"/>
      <c r="AJ769" s="49"/>
      <c r="AK769" s="44"/>
      <c r="AL769" s="44"/>
      <c r="AM769" s="44"/>
      <c r="AN769" s="44"/>
      <c r="AO769" s="44"/>
    </row>
    <row r="770" spans="35:41" ht="14.25" customHeight="1" x14ac:dyDescent="0.3">
      <c r="AI770" s="44"/>
      <c r="AJ770" s="49"/>
      <c r="AK770" s="44"/>
      <c r="AL770" s="44"/>
      <c r="AM770" s="44"/>
      <c r="AN770" s="44"/>
      <c r="AO770" s="44"/>
    </row>
    <row r="771" spans="35:41" ht="14.25" customHeight="1" x14ac:dyDescent="0.3">
      <c r="AI771" s="44"/>
      <c r="AJ771" s="49"/>
      <c r="AK771" s="44"/>
      <c r="AL771" s="44"/>
      <c r="AM771" s="44"/>
      <c r="AN771" s="44"/>
      <c r="AO771" s="44"/>
    </row>
    <row r="772" spans="35:41" ht="14.25" customHeight="1" x14ac:dyDescent="0.3">
      <c r="AI772" s="44"/>
      <c r="AJ772" s="49"/>
      <c r="AK772" s="44"/>
      <c r="AL772" s="44"/>
      <c r="AM772" s="44"/>
      <c r="AN772" s="44"/>
      <c r="AO772" s="44"/>
    </row>
    <row r="773" spans="35:41" ht="14.25" customHeight="1" x14ac:dyDescent="0.3">
      <c r="AI773" s="44"/>
      <c r="AJ773" s="49"/>
      <c r="AK773" s="44"/>
      <c r="AL773" s="44"/>
      <c r="AM773" s="44"/>
      <c r="AN773" s="44"/>
      <c r="AO773" s="44"/>
    </row>
    <row r="774" spans="35:41" ht="14.25" customHeight="1" x14ac:dyDescent="0.3">
      <c r="AI774" s="44"/>
      <c r="AJ774" s="49"/>
      <c r="AK774" s="44"/>
      <c r="AL774" s="44"/>
      <c r="AM774" s="44"/>
      <c r="AN774" s="44"/>
      <c r="AO774" s="44"/>
    </row>
    <row r="775" spans="35:41" ht="14.25" customHeight="1" x14ac:dyDescent="0.3">
      <c r="AI775" s="44"/>
      <c r="AJ775" s="49"/>
      <c r="AK775" s="44"/>
      <c r="AL775" s="44"/>
      <c r="AM775" s="44"/>
      <c r="AN775" s="44"/>
      <c r="AO775" s="44"/>
    </row>
    <row r="776" spans="35:41" ht="14.25" customHeight="1" x14ac:dyDescent="0.3">
      <c r="AI776" s="44"/>
      <c r="AJ776" s="49"/>
      <c r="AK776" s="44"/>
      <c r="AL776" s="44"/>
      <c r="AM776" s="44"/>
      <c r="AN776" s="44"/>
      <c r="AO776" s="44"/>
    </row>
    <row r="777" spans="35:41" ht="14.25" customHeight="1" x14ac:dyDescent="0.3">
      <c r="AI777" s="44"/>
      <c r="AJ777" s="49"/>
      <c r="AK777" s="44"/>
      <c r="AL777" s="44"/>
      <c r="AM777" s="44"/>
      <c r="AN777" s="44"/>
      <c r="AO777" s="44"/>
    </row>
    <row r="778" spans="35:41" ht="14.25" customHeight="1" x14ac:dyDescent="0.3">
      <c r="AI778" s="44"/>
      <c r="AJ778" s="49"/>
      <c r="AK778" s="44"/>
      <c r="AL778" s="44"/>
      <c r="AM778" s="44"/>
      <c r="AN778" s="44"/>
      <c r="AO778" s="44"/>
    </row>
    <row r="779" spans="35:41" ht="14.25" customHeight="1" x14ac:dyDescent="0.3">
      <c r="AI779" s="44"/>
      <c r="AJ779" s="49"/>
      <c r="AK779" s="44"/>
      <c r="AL779" s="44"/>
      <c r="AM779" s="44"/>
      <c r="AN779" s="44"/>
      <c r="AO779" s="44"/>
    </row>
    <row r="780" spans="35:41" ht="14.25" customHeight="1" x14ac:dyDescent="0.3">
      <c r="AI780" s="44"/>
      <c r="AJ780" s="49"/>
      <c r="AK780" s="44"/>
      <c r="AL780" s="44"/>
      <c r="AM780" s="44"/>
      <c r="AN780" s="44"/>
      <c r="AO780" s="44"/>
    </row>
    <row r="781" spans="35:41" ht="14.25" customHeight="1" x14ac:dyDescent="0.3">
      <c r="AI781" s="44"/>
      <c r="AJ781" s="49"/>
      <c r="AK781" s="44"/>
      <c r="AL781" s="44"/>
      <c r="AM781" s="44"/>
      <c r="AN781" s="44"/>
      <c r="AO781" s="44"/>
    </row>
    <row r="782" spans="35:41" ht="14.25" customHeight="1" x14ac:dyDescent="0.3">
      <c r="AI782" s="44"/>
      <c r="AJ782" s="49"/>
      <c r="AK782" s="44"/>
      <c r="AL782" s="44"/>
      <c r="AM782" s="44"/>
      <c r="AN782" s="44"/>
      <c r="AO782" s="44"/>
    </row>
    <row r="783" spans="35:41" ht="14.25" customHeight="1" x14ac:dyDescent="0.3">
      <c r="AI783" s="44"/>
      <c r="AJ783" s="49"/>
      <c r="AK783" s="44"/>
      <c r="AL783" s="44"/>
      <c r="AM783" s="44"/>
      <c r="AN783" s="44"/>
      <c r="AO783" s="44"/>
    </row>
    <row r="784" spans="35:41" ht="14.25" customHeight="1" x14ac:dyDescent="0.3">
      <c r="AI784" s="44"/>
      <c r="AJ784" s="49"/>
      <c r="AK784" s="44"/>
      <c r="AL784" s="44"/>
      <c r="AM784" s="44"/>
      <c r="AN784" s="44"/>
      <c r="AO784" s="44"/>
    </row>
    <row r="785" spans="35:41" ht="14.25" customHeight="1" x14ac:dyDescent="0.3">
      <c r="AI785" s="44"/>
      <c r="AJ785" s="49"/>
      <c r="AK785" s="44"/>
      <c r="AL785" s="44"/>
      <c r="AM785" s="44"/>
      <c r="AN785" s="44"/>
      <c r="AO785" s="44"/>
    </row>
    <row r="786" spans="35:41" ht="14.25" customHeight="1" x14ac:dyDescent="0.3">
      <c r="AI786" s="44"/>
      <c r="AJ786" s="49"/>
      <c r="AK786" s="44"/>
      <c r="AL786" s="44"/>
      <c r="AM786" s="44"/>
      <c r="AN786" s="44"/>
      <c r="AO786" s="44"/>
    </row>
    <row r="787" spans="35:41" ht="14.25" customHeight="1" x14ac:dyDescent="0.3">
      <c r="AI787" s="44"/>
      <c r="AJ787" s="49"/>
      <c r="AK787" s="44"/>
      <c r="AL787" s="44"/>
      <c r="AM787" s="44"/>
      <c r="AN787" s="44"/>
      <c r="AO787" s="44"/>
    </row>
    <row r="788" spans="35:41" ht="14.25" customHeight="1" x14ac:dyDescent="0.3">
      <c r="AI788" s="44"/>
      <c r="AJ788" s="49"/>
      <c r="AK788" s="44"/>
      <c r="AL788" s="44"/>
      <c r="AM788" s="44"/>
      <c r="AN788" s="44"/>
      <c r="AO788" s="44"/>
    </row>
    <row r="789" spans="35:41" ht="14.25" customHeight="1" x14ac:dyDescent="0.3">
      <c r="AI789" s="44"/>
      <c r="AJ789" s="49"/>
      <c r="AK789" s="44"/>
      <c r="AL789" s="44"/>
      <c r="AM789" s="44"/>
      <c r="AN789" s="44"/>
      <c r="AO789" s="44"/>
    </row>
    <row r="790" spans="35:41" ht="14.25" customHeight="1" x14ac:dyDescent="0.3">
      <c r="AI790" s="44"/>
      <c r="AJ790" s="49"/>
      <c r="AK790" s="44"/>
      <c r="AL790" s="44"/>
      <c r="AM790" s="44"/>
      <c r="AN790" s="44"/>
      <c r="AO790" s="44"/>
    </row>
    <row r="791" spans="35:41" ht="14.25" customHeight="1" x14ac:dyDescent="0.3">
      <c r="AI791" s="44"/>
      <c r="AJ791" s="49"/>
      <c r="AK791" s="44"/>
      <c r="AL791" s="44"/>
      <c r="AM791" s="44"/>
      <c r="AN791" s="44"/>
      <c r="AO791" s="44"/>
    </row>
    <row r="792" spans="35:41" ht="14.25" customHeight="1" x14ac:dyDescent="0.3">
      <c r="AI792" s="44"/>
      <c r="AJ792" s="49"/>
      <c r="AK792" s="44"/>
      <c r="AL792" s="44"/>
      <c r="AM792" s="44"/>
      <c r="AN792" s="44"/>
      <c r="AO792" s="44"/>
    </row>
    <row r="793" spans="35:41" ht="14.25" customHeight="1" x14ac:dyDescent="0.3">
      <c r="AI793" s="44"/>
      <c r="AJ793" s="49"/>
      <c r="AK793" s="44"/>
      <c r="AL793" s="44"/>
      <c r="AM793" s="44"/>
      <c r="AN793" s="44"/>
      <c r="AO793" s="44"/>
    </row>
    <row r="794" spans="35:41" ht="14.25" customHeight="1" x14ac:dyDescent="0.3">
      <c r="AI794" s="44"/>
      <c r="AJ794" s="49"/>
      <c r="AK794" s="44"/>
      <c r="AL794" s="44"/>
      <c r="AM794" s="44"/>
      <c r="AN794" s="44"/>
      <c r="AO794" s="44"/>
    </row>
    <row r="795" spans="35:41" ht="14.25" customHeight="1" x14ac:dyDescent="0.3">
      <c r="AI795" s="44"/>
      <c r="AJ795" s="49"/>
      <c r="AK795" s="44"/>
      <c r="AL795" s="44"/>
      <c r="AM795" s="44"/>
      <c r="AN795" s="44"/>
      <c r="AO795" s="44"/>
    </row>
    <row r="796" spans="35:41" ht="14.25" customHeight="1" x14ac:dyDescent="0.3">
      <c r="AI796" s="44"/>
      <c r="AJ796" s="49"/>
      <c r="AK796" s="44"/>
      <c r="AL796" s="44"/>
      <c r="AM796" s="44"/>
      <c r="AN796" s="44"/>
      <c r="AO796" s="44"/>
    </row>
    <row r="797" spans="35:41" ht="14.25" customHeight="1" x14ac:dyDescent="0.3">
      <c r="AI797" s="44"/>
      <c r="AJ797" s="49"/>
      <c r="AK797" s="44"/>
      <c r="AL797" s="44"/>
      <c r="AM797" s="44"/>
      <c r="AN797" s="44"/>
      <c r="AO797" s="44"/>
    </row>
    <row r="798" spans="35:41" ht="14.25" customHeight="1" x14ac:dyDescent="0.3">
      <c r="AI798" s="44"/>
      <c r="AJ798" s="49"/>
      <c r="AK798" s="44"/>
      <c r="AL798" s="44"/>
      <c r="AM798" s="44"/>
      <c r="AN798" s="44"/>
      <c r="AO798" s="44"/>
    </row>
    <row r="799" spans="35:41" ht="14.25" customHeight="1" x14ac:dyDescent="0.3">
      <c r="AI799" s="44"/>
      <c r="AJ799" s="49"/>
      <c r="AK799" s="44"/>
      <c r="AL799" s="44"/>
      <c r="AM799" s="44"/>
      <c r="AN799" s="44"/>
      <c r="AO799" s="44"/>
    </row>
    <row r="800" spans="35:41" ht="14.25" customHeight="1" x14ac:dyDescent="0.3">
      <c r="AI800" s="44"/>
      <c r="AJ800" s="49"/>
      <c r="AK800" s="44"/>
      <c r="AL800" s="44"/>
      <c r="AM800" s="44"/>
      <c r="AN800" s="44"/>
      <c r="AO800" s="44"/>
    </row>
    <row r="801" spans="35:41" ht="14.25" customHeight="1" x14ac:dyDescent="0.3">
      <c r="AI801" s="44"/>
      <c r="AJ801" s="49"/>
      <c r="AK801" s="44"/>
      <c r="AL801" s="44"/>
      <c r="AM801" s="44"/>
      <c r="AN801" s="44"/>
      <c r="AO801" s="44"/>
    </row>
    <row r="802" spans="35:41" ht="14.25" customHeight="1" x14ac:dyDescent="0.3">
      <c r="AI802" s="44"/>
      <c r="AJ802" s="49"/>
      <c r="AK802" s="44"/>
      <c r="AL802" s="44"/>
      <c r="AM802" s="44"/>
      <c r="AN802" s="44"/>
      <c r="AO802" s="44"/>
    </row>
    <row r="803" spans="35:41" ht="14.25" customHeight="1" x14ac:dyDescent="0.3">
      <c r="AI803" s="44"/>
      <c r="AJ803" s="49"/>
      <c r="AK803" s="44"/>
      <c r="AL803" s="44"/>
      <c r="AM803" s="44"/>
      <c r="AN803" s="44"/>
      <c r="AO803" s="44"/>
    </row>
    <row r="804" spans="35:41" ht="14.25" customHeight="1" x14ac:dyDescent="0.3">
      <c r="AI804" s="44"/>
      <c r="AJ804" s="49"/>
      <c r="AK804" s="44"/>
      <c r="AL804" s="44"/>
      <c r="AM804" s="44"/>
      <c r="AN804" s="44"/>
      <c r="AO804" s="44"/>
    </row>
    <row r="805" spans="35:41" ht="14.25" customHeight="1" x14ac:dyDescent="0.3">
      <c r="AI805" s="44"/>
      <c r="AJ805" s="49"/>
      <c r="AK805" s="44"/>
      <c r="AL805" s="44"/>
      <c r="AM805" s="44"/>
      <c r="AN805" s="44"/>
      <c r="AO805" s="44"/>
    </row>
    <row r="806" spans="35:41" ht="14.25" customHeight="1" x14ac:dyDescent="0.3">
      <c r="AI806" s="44"/>
      <c r="AJ806" s="49"/>
      <c r="AK806" s="44"/>
      <c r="AL806" s="44"/>
      <c r="AM806" s="44"/>
      <c r="AN806" s="44"/>
      <c r="AO806" s="44"/>
    </row>
    <row r="807" spans="35:41" ht="14.25" customHeight="1" x14ac:dyDescent="0.3">
      <c r="AI807" s="44"/>
      <c r="AJ807" s="49"/>
      <c r="AK807" s="44"/>
      <c r="AL807" s="44"/>
      <c r="AM807" s="44"/>
      <c r="AN807" s="44"/>
      <c r="AO807" s="44"/>
    </row>
    <row r="808" spans="35:41" ht="14.25" customHeight="1" x14ac:dyDescent="0.3">
      <c r="AI808" s="44"/>
      <c r="AJ808" s="49"/>
      <c r="AK808" s="44"/>
      <c r="AL808" s="44"/>
      <c r="AM808" s="44"/>
      <c r="AN808" s="44"/>
      <c r="AO808" s="44"/>
    </row>
    <row r="809" spans="35:41" ht="14.25" customHeight="1" x14ac:dyDescent="0.3">
      <c r="AI809" s="44"/>
      <c r="AJ809" s="49"/>
      <c r="AK809" s="44"/>
      <c r="AL809" s="44"/>
      <c r="AM809" s="44"/>
      <c r="AN809" s="44"/>
      <c r="AO809" s="44"/>
    </row>
    <row r="810" spans="35:41" ht="14.25" customHeight="1" x14ac:dyDescent="0.3">
      <c r="AI810" s="44"/>
      <c r="AJ810" s="49"/>
      <c r="AK810" s="44"/>
      <c r="AL810" s="44"/>
      <c r="AM810" s="44"/>
      <c r="AN810" s="44"/>
      <c r="AO810" s="44"/>
    </row>
    <row r="811" spans="35:41" ht="14.25" customHeight="1" x14ac:dyDescent="0.3">
      <c r="AI811" s="44"/>
      <c r="AJ811" s="49"/>
      <c r="AK811" s="44"/>
      <c r="AL811" s="44"/>
      <c r="AM811" s="44"/>
      <c r="AN811" s="44"/>
      <c r="AO811" s="44"/>
    </row>
    <row r="812" spans="35:41" ht="14.25" customHeight="1" x14ac:dyDescent="0.3">
      <c r="AI812" s="44"/>
      <c r="AJ812" s="49"/>
      <c r="AK812" s="44"/>
      <c r="AL812" s="44"/>
      <c r="AM812" s="44"/>
      <c r="AN812" s="44"/>
      <c r="AO812" s="44"/>
    </row>
    <row r="813" spans="35:41" ht="14.25" customHeight="1" x14ac:dyDescent="0.3">
      <c r="AI813" s="44"/>
      <c r="AJ813" s="49"/>
      <c r="AK813" s="44"/>
      <c r="AL813" s="44"/>
      <c r="AM813" s="44"/>
      <c r="AN813" s="44"/>
      <c r="AO813" s="44"/>
    </row>
    <row r="814" spans="35:41" ht="14.25" customHeight="1" x14ac:dyDescent="0.3">
      <c r="AI814" s="44"/>
      <c r="AJ814" s="49"/>
      <c r="AK814" s="44"/>
      <c r="AL814" s="44"/>
      <c r="AM814" s="44"/>
      <c r="AN814" s="44"/>
      <c r="AO814" s="44"/>
    </row>
    <row r="815" spans="35:41" ht="14.25" customHeight="1" x14ac:dyDescent="0.3">
      <c r="AI815" s="44"/>
      <c r="AJ815" s="49"/>
      <c r="AK815" s="44"/>
      <c r="AL815" s="44"/>
      <c r="AM815" s="44"/>
      <c r="AN815" s="44"/>
      <c r="AO815" s="44"/>
    </row>
    <row r="816" spans="35:41" ht="14.25" customHeight="1" x14ac:dyDescent="0.3">
      <c r="AI816" s="44"/>
      <c r="AJ816" s="49"/>
      <c r="AK816" s="44"/>
      <c r="AL816" s="44"/>
      <c r="AM816" s="44"/>
      <c r="AN816" s="44"/>
      <c r="AO816" s="44"/>
    </row>
    <row r="817" spans="35:41" ht="14.25" customHeight="1" x14ac:dyDescent="0.3">
      <c r="AI817" s="44"/>
      <c r="AJ817" s="49"/>
      <c r="AK817" s="44"/>
      <c r="AL817" s="44"/>
      <c r="AM817" s="44"/>
      <c r="AN817" s="44"/>
      <c r="AO817" s="44"/>
    </row>
    <row r="818" spans="35:41" ht="14.25" customHeight="1" x14ac:dyDescent="0.3">
      <c r="AI818" s="44"/>
      <c r="AJ818" s="49"/>
      <c r="AK818" s="44"/>
      <c r="AL818" s="44"/>
      <c r="AM818" s="44"/>
      <c r="AN818" s="44"/>
      <c r="AO818" s="44"/>
    </row>
    <row r="819" spans="35:41" ht="14.25" customHeight="1" x14ac:dyDescent="0.3">
      <c r="AI819" s="44"/>
      <c r="AJ819" s="49"/>
      <c r="AK819" s="44"/>
      <c r="AL819" s="44"/>
      <c r="AM819" s="44"/>
      <c r="AN819" s="44"/>
      <c r="AO819" s="44"/>
    </row>
    <row r="820" spans="35:41" ht="14.25" customHeight="1" x14ac:dyDescent="0.3">
      <c r="AI820" s="44"/>
      <c r="AJ820" s="49"/>
      <c r="AK820" s="44"/>
      <c r="AL820" s="44"/>
      <c r="AM820" s="44"/>
      <c r="AN820" s="44"/>
      <c r="AO820" s="44"/>
    </row>
    <row r="821" spans="35:41" ht="14.25" customHeight="1" x14ac:dyDescent="0.3">
      <c r="AI821" s="44"/>
      <c r="AJ821" s="49"/>
      <c r="AK821" s="44"/>
      <c r="AL821" s="44"/>
      <c r="AM821" s="44"/>
      <c r="AN821" s="44"/>
      <c r="AO821" s="44"/>
    </row>
    <row r="822" spans="35:41" ht="14.25" customHeight="1" x14ac:dyDescent="0.3">
      <c r="AI822" s="44"/>
      <c r="AJ822" s="49"/>
      <c r="AK822" s="44"/>
      <c r="AL822" s="44"/>
      <c r="AM822" s="44"/>
      <c r="AN822" s="44"/>
      <c r="AO822" s="44"/>
    </row>
    <row r="823" spans="35:41" ht="14.25" customHeight="1" x14ac:dyDescent="0.3">
      <c r="AI823" s="44"/>
      <c r="AJ823" s="49"/>
      <c r="AK823" s="44"/>
      <c r="AL823" s="44"/>
      <c r="AM823" s="44"/>
      <c r="AN823" s="44"/>
      <c r="AO823" s="44"/>
    </row>
    <row r="824" spans="35:41" ht="14.25" customHeight="1" x14ac:dyDescent="0.3">
      <c r="AI824" s="44"/>
      <c r="AJ824" s="49"/>
      <c r="AK824" s="44"/>
      <c r="AL824" s="44"/>
      <c r="AM824" s="44"/>
      <c r="AN824" s="44"/>
      <c r="AO824" s="44"/>
    </row>
    <row r="825" spans="35:41" ht="14.25" customHeight="1" x14ac:dyDescent="0.3">
      <c r="AI825" s="44"/>
      <c r="AJ825" s="49"/>
      <c r="AK825" s="44"/>
      <c r="AL825" s="44"/>
      <c r="AM825" s="44"/>
      <c r="AN825" s="44"/>
      <c r="AO825" s="44"/>
    </row>
    <row r="826" spans="35:41" ht="14.25" customHeight="1" x14ac:dyDescent="0.3">
      <c r="AI826" s="44"/>
      <c r="AJ826" s="49"/>
      <c r="AK826" s="44"/>
      <c r="AL826" s="44"/>
      <c r="AM826" s="44"/>
      <c r="AN826" s="44"/>
      <c r="AO826" s="44"/>
    </row>
    <row r="827" spans="35:41" ht="14.25" customHeight="1" x14ac:dyDescent="0.3">
      <c r="AI827" s="44"/>
      <c r="AJ827" s="49"/>
      <c r="AK827" s="44"/>
      <c r="AL827" s="44"/>
      <c r="AM827" s="44"/>
      <c r="AN827" s="44"/>
      <c r="AO827" s="44"/>
    </row>
    <row r="828" spans="35:41" ht="14.25" customHeight="1" x14ac:dyDescent="0.3">
      <c r="AI828" s="44"/>
      <c r="AJ828" s="49"/>
      <c r="AK828" s="44"/>
      <c r="AL828" s="44"/>
      <c r="AM828" s="44"/>
      <c r="AN828" s="44"/>
      <c r="AO828" s="44"/>
    </row>
    <row r="829" spans="35:41" ht="14.25" customHeight="1" x14ac:dyDescent="0.3">
      <c r="AI829" s="44"/>
      <c r="AJ829" s="49"/>
      <c r="AK829" s="44"/>
      <c r="AL829" s="44"/>
      <c r="AM829" s="44"/>
      <c r="AN829" s="44"/>
      <c r="AO829" s="44"/>
    </row>
    <row r="830" spans="35:41" ht="14.25" customHeight="1" x14ac:dyDescent="0.3">
      <c r="AI830" s="44"/>
      <c r="AJ830" s="49"/>
      <c r="AK830" s="44"/>
      <c r="AL830" s="44"/>
      <c r="AM830" s="44"/>
      <c r="AN830" s="44"/>
      <c r="AO830" s="44"/>
    </row>
    <row r="831" spans="35:41" ht="14.25" customHeight="1" x14ac:dyDescent="0.3">
      <c r="AI831" s="44"/>
      <c r="AJ831" s="49"/>
      <c r="AK831" s="44"/>
      <c r="AL831" s="44"/>
      <c r="AM831" s="44"/>
      <c r="AN831" s="44"/>
      <c r="AO831" s="44"/>
    </row>
    <row r="832" spans="35:41" ht="14.25" customHeight="1" x14ac:dyDescent="0.3">
      <c r="AI832" s="44"/>
      <c r="AJ832" s="49"/>
      <c r="AK832" s="44"/>
      <c r="AL832" s="44"/>
      <c r="AM832" s="44"/>
      <c r="AN832" s="44"/>
      <c r="AO832" s="44"/>
    </row>
    <row r="833" spans="35:41" ht="14.25" customHeight="1" x14ac:dyDescent="0.3">
      <c r="AI833" s="44"/>
      <c r="AJ833" s="49"/>
      <c r="AK833" s="44"/>
      <c r="AL833" s="44"/>
      <c r="AM833" s="44"/>
      <c r="AN833" s="44"/>
      <c r="AO833" s="44"/>
    </row>
    <row r="834" spans="35:41" ht="14.25" customHeight="1" x14ac:dyDescent="0.3">
      <c r="AI834" s="44"/>
      <c r="AJ834" s="49"/>
      <c r="AK834" s="44"/>
      <c r="AL834" s="44"/>
      <c r="AM834" s="44"/>
      <c r="AN834" s="44"/>
      <c r="AO834" s="44"/>
    </row>
    <row r="835" spans="35:41" ht="14.25" customHeight="1" x14ac:dyDescent="0.3">
      <c r="AI835" s="44"/>
      <c r="AJ835" s="49"/>
      <c r="AK835" s="44"/>
      <c r="AL835" s="44"/>
      <c r="AM835" s="44"/>
      <c r="AN835" s="44"/>
      <c r="AO835" s="44"/>
    </row>
    <row r="836" spans="35:41" ht="14.25" customHeight="1" x14ac:dyDescent="0.3">
      <c r="AI836" s="44"/>
      <c r="AJ836" s="49"/>
      <c r="AK836" s="44"/>
      <c r="AL836" s="44"/>
      <c r="AM836" s="44"/>
      <c r="AN836" s="44"/>
      <c r="AO836" s="44"/>
    </row>
    <row r="837" spans="35:41" ht="14.25" customHeight="1" x14ac:dyDescent="0.3">
      <c r="AI837" s="44"/>
      <c r="AJ837" s="49"/>
      <c r="AK837" s="44"/>
      <c r="AL837" s="44"/>
      <c r="AM837" s="44"/>
      <c r="AN837" s="44"/>
      <c r="AO837" s="44"/>
    </row>
    <row r="838" spans="35:41" ht="14.25" customHeight="1" x14ac:dyDescent="0.3">
      <c r="AI838" s="44"/>
      <c r="AJ838" s="49"/>
      <c r="AK838" s="44"/>
      <c r="AL838" s="44"/>
      <c r="AM838" s="44"/>
      <c r="AN838" s="44"/>
      <c r="AO838" s="44"/>
    </row>
    <row r="839" spans="35:41" ht="14.25" customHeight="1" x14ac:dyDescent="0.3">
      <c r="AI839" s="44"/>
      <c r="AJ839" s="49"/>
      <c r="AK839" s="44"/>
      <c r="AL839" s="44"/>
      <c r="AM839" s="44"/>
      <c r="AN839" s="44"/>
      <c r="AO839" s="44"/>
    </row>
    <row r="840" spans="35:41" ht="14.25" customHeight="1" x14ac:dyDescent="0.3">
      <c r="AI840" s="44"/>
      <c r="AJ840" s="49"/>
      <c r="AK840" s="44"/>
      <c r="AL840" s="44"/>
      <c r="AM840" s="44"/>
      <c r="AN840" s="44"/>
      <c r="AO840" s="44"/>
    </row>
    <row r="841" spans="35:41" ht="14.25" customHeight="1" x14ac:dyDescent="0.3">
      <c r="AI841" s="44"/>
      <c r="AJ841" s="49"/>
      <c r="AK841" s="44"/>
      <c r="AL841" s="44"/>
      <c r="AM841" s="44"/>
      <c r="AN841" s="44"/>
      <c r="AO841" s="44"/>
    </row>
    <row r="842" spans="35:41" ht="14.25" customHeight="1" x14ac:dyDescent="0.3">
      <c r="AI842" s="44"/>
      <c r="AJ842" s="49"/>
      <c r="AK842" s="44"/>
      <c r="AL842" s="44"/>
      <c r="AM842" s="44"/>
      <c r="AN842" s="44"/>
      <c r="AO842" s="44"/>
    </row>
    <row r="843" spans="35:41" ht="14.25" customHeight="1" x14ac:dyDescent="0.3">
      <c r="AI843" s="44"/>
      <c r="AJ843" s="49"/>
      <c r="AK843" s="44"/>
      <c r="AL843" s="44"/>
      <c r="AM843" s="44"/>
      <c r="AN843" s="44"/>
      <c r="AO843" s="44"/>
    </row>
    <row r="844" spans="35:41" ht="14.25" customHeight="1" x14ac:dyDescent="0.3">
      <c r="AI844" s="44"/>
      <c r="AJ844" s="49"/>
      <c r="AK844" s="44"/>
      <c r="AL844" s="44"/>
      <c r="AM844" s="44"/>
      <c r="AN844" s="44"/>
      <c r="AO844" s="44"/>
    </row>
    <row r="845" spans="35:41" ht="14.25" customHeight="1" x14ac:dyDescent="0.3">
      <c r="AI845" s="44"/>
      <c r="AJ845" s="49"/>
      <c r="AK845" s="44"/>
      <c r="AL845" s="44"/>
      <c r="AM845" s="44"/>
      <c r="AN845" s="44"/>
      <c r="AO845" s="44"/>
    </row>
    <row r="846" spans="35:41" ht="14.25" customHeight="1" x14ac:dyDescent="0.3">
      <c r="AI846" s="44"/>
      <c r="AJ846" s="49"/>
      <c r="AK846" s="44"/>
      <c r="AL846" s="44"/>
      <c r="AM846" s="44"/>
      <c r="AN846" s="44"/>
      <c r="AO846" s="44"/>
    </row>
    <row r="847" spans="35:41" ht="14.25" customHeight="1" x14ac:dyDescent="0.3">
      <c r="AI847" s="44"/>
      <c r="AJ847" s="49"/>
      <c r="AK847" s="44"/>
      <c r="AL847" s="44"/>
      <c r="AM847" s="44"/>
      <c r="AN847" s="44"/>
      <c r="AO847" s="44"/>
    </row>
    <row r="848" spans="35:41" ht="14.25" customHeight="1" x14ac:dyDescent="0.3">
      <c r="AI848" s="44"/>
      <c r="AJ848" s="49"/>
      <c r="AK848" s="44"/>
      <c r="AL848" s="44"/>
      <c r="AM848" s="44"/>
      <c r="AN848" s="44"/>
      <c r="AO848" s="44"/>
    </row>
    <row r="849" spans="35:41" ht="14.25" customHeight="1" x14ac:dyDescent="0.3">
      <c r="AI849" s="44"/>
      <c r="AJ849" s="49"/>
      <c r="AK849" s="44"/>
      <c r="AL849" s="44"/>
      <c r="AM849" s="44"/>
      <c r="AN849" s="44"/>
      <c r="AO849" s="44"/>
    </row>
    <row r="850" spans="35:41" ht="14.25" customHeight="1" x14ac:dyDescent="0.3">
      <c r="AI850" s="44"/>
      <c r="AJ850" s="49"/>
      <c r="AK850" s="44"/>
      <c r="AL850" s="44"/>
      <c r="AM850" s="44"/>
      <c r="AN850" s="44"/>
      <c r="AO850" s="44"/>
    </row>
    <row r="851" spans="35:41" ht="14.25" customHeight="1" x14ac:dyDescent="0.3">
      <c r="AI851" s="44"/>
      <c r="AJ851" s="49"/>
      <c r="AK851" s="44"/>
      <c r="AL851" s="44"/>
      <c r="AM851" s="44"/>
      <c r="AN851" s="44"/>
      <c r="AO851" s="44"/>
    </row>
    <row r="852" spans="35:41" ht="14.25" customHeight="1" x14ac:dyDescent="0.3">
      <c r="AI852" s="44"/>
      <c r="AJ852" s="49"/>
      <c r="AK852" s="44"/>
      <c r="AL852" s="44"/>
      <c r="AM852" s="44"/>
      <c r="AN852" s="44"/>
      <c r="AO852" s="44"/>
    </row>
    <row r="853" spans="35:41" ht="14.25" customHeight="1" x14ac:dyDescent="0.3">
      <c r="AI853" s="44"/>
      <c r="AJ853" s="49"/>
      <c r="AK853" s="44"/>
      <c r="AL853" s="44"/>
      <c r="AM853" s="44"/>
      <c r="AN853" s="44"/>
      <c r="AO853" s="44"/>
    </row>
    <row r="854" spans="35:41" ht="14.25" customHeight="1" x14ac:dyDescent="0.3">
      <c r="AI854" s="44"/>
      <c r="AJ854" s="49"/>
      <c r="AK854" s="44"/>
      <c r="AL854" s="44"/>
      <c r="AM854" s="44"/>
      <c r="AN854" s="44"/>
      <c r="AO854" s="44"/>
    </row>
    <row r="855" spans="35:41" ht="14.25" customHeight="1" x14ac:dyDescent="0.3">
      <c r="AI855" s="44"/>
      <c r="AJ855" s="49"/>
      <c r="AK855" s="44"/>
      <c r="AL855" s="44"/>
      <c r="AM855" s="44"/>
      <c r="AN855" s="44"/>
      <c r="AO855" s="44"/>
    </row>
    <row r="856" spans="35:41" ht="14.25" customHeight="1" x14ac:dyDescent="0.3">
      <c r="AI856" s="44"/>
      <c r="AJ856" s="49"/>
      <c r="AK856" s="44"/>
      <c r="AL856" s="44"/>
      <c r="AM856" s="44"/>
      <c r="AN856" s="44"/>
      <c r="AO856" s="44"/>
    </row>
    <row r="857" spans="35:41" ht="14.25" customHeight="1" x14ac:dyDescent="0.3">
      <c r="AI857" s="44"/>
      <c r="AJ857" s="49"/>
      <c r="AK857" s="44"/>
      <c r="AL857" s="44"/>
      <c r="AM857" s="44"/>
      <c r="AN857" s="44"/>
      <c r="AO857" s="44"/>
    </row>
    <row r="858" spans="35:41" ht="14.25" customHeight="1" x14ac:dyDescent="0.3">
      <c r="AI858" s="44"/>
      <c r="AJ858" s="49"/>
      <c r="AK858" s="44"/>
      <c r="AL858" s="44"/>
      <c r="AM858" s="44"/>
      <c r="AN858" s="44"/>
      <c r="AO858" s="44"/>
    </row>
    <row r="859" spans="35:41" ht="14.25" customHeight="1" x14ac:dyDescent="0.3">
      <c r="AI859" s="44"/>
      <c r="AJ859" s="49"/>
      <c r="AK859" s="44"/>
      <c r="AL859" s="44"/>
      <c r="AM859" s="44"/>
      <c r="AN859" s="44"/>
      <c r="AO859" s="44"/>
    </row>
    <row r="860" spans="35:41" ht="14.25" customHeight="1" x14ac:dyDescent="0.3">
      <c r="AI860" s="44"/>
      <c r="AJ860" s="49"/>
      <c r="AK860" s="44"/>
      <c r="AL860" s="44"/>
      <c r="AM860" s="44"/>
      <c r="AN860" s="44"/>
      <c r="AO860" s="44"/>
    </row>
    <row r="861" spans="35:41" ht="14.25" customHeight="1" x14ac:dyDescent="0.3">
      <c r="AI861" s="44"/>
      <c r="AJ861" s="49"/>
      <c r="AK861" s="44"/>
      <c r="AL861" s="44"/>
      <c r="AM861" s="44"/>
      <c r="AN861" s="44"/>
      <c r="AO861" s="44"/>
    </row>
    <row r="862" spans="35:41" ht="14.25" customHeight="1" x14ac:dyDescent="0.3">
      <c r="AI862" s="44"/>
      <c r="AJ862" s="49"/>
      <c r="AK862" s="44"/>
      <c r="AL862" s="44"/>
      <c r="AM862" s="44"/>
      <c r="AN862" s="44"/>
      <c r="AO862" s="44"/>
    </row>
    <row r="863" spans="35:41" ht="14.25" customHeight="1" x14ac:dyDescent="0.3">
      <c r="AI863" s="44"/>
      <c r="AJ863" s="49"/>
      <c r="AK863" s="44"/>
      <c r="AL863" s="44"/>
      <c r="AM863" s="44"/>
      <c r="AN863" s="44"/>
      <c r="AO863" s="44"/>
    </row>
    <row r="864" spans="35:41" ht="14.25" customHeight="1" x14ac:dyDescent="0.3">
      <c r="AI864" s="44"/>
      <c r="AJ864" s="49"/>
      <c r="AK864" s="44"/>
      <c r="AL864" s="44"/>
      <c r="AM864" s="44"/>
      <c r="AN864" s="44"/>
      <c r="AO864" s="44"/>
    </row>
    <row r="865" spans="35:41" ht="14.25" customHeight="1" x14ac:dyDescent="0.3">
      <c r="AI865" s="44"/>
      <c r="AJ865" s="49"/>
      <c r="AK865" s="44"/>
      <c r="AL865" s="44"/>
      <c r="AM865" s="44"/>
      <c r="AN865" s="44"/>
      <c r="AO865" s="44"/>
    </row>
    <row r="866" spans="35:41" ht="14.25" customHeight="1" x14ac:dyDescent="0.3">
      <c r="AI866" s="44"/>
      <c r="AJ866" s="49"/>
      <c r="AK866" s="44"/>
      <c r="AL866" s="44"/>
      <c r="AM866" s="44"/>
      <c r="AN866" s="44"/>
      <c r="AO866" s="44"/>
    </row>
    <row r="867" spans="35:41" ht="14.25" customHeight="1" x14ac:dyDescent="0.3">
      <c r="AI867" s="44"/>
      <c r="AJ867" s="49"/>
      <c r="AK867" s="44"/>
      <c r="AL867" s="44"/>
      <c r="AM867" s="44"/>
      <c r="AN867" s="44"/>
      <c r="AO867" s="44"/>
    </row>
    <row r="868" spans="35:41" ht="14.25" customHeight="1" x14ac:dyDescent="0.3">
      <c r="AI868" s="44"/>
      <c r="AJ868" s="49"/>
      <c r="AK868" s="44"/>
      <c r="AL868" s="44"/>
      <c r="AM868" s="44"/>
      <c r="AN868" s="44"/>
      <c r="AO868" s="44"/>
    </row>
    <row r="869" spans="35:41" ht="14.25" customHeight="1" x14ac:dyDescent="0.3">
      <c r="AI869" s="44"/>
      <c r="AJ869" s="49"/>
      <c r="AK869" s="44"/>
      <c r="AL869" s="44"/>
      <c r="AM869" s="44"/>
      <c r="AN869" s="44"/>
      <c r="AO869" s="44"/>
    </row>
    <row r="870" spans="35:41" ht="14.25" customHeight="1" x14ac:dyDescent="0.3">
      <c r="AI870" s="44"/>
      <c r="AJ870" s="49"/>
      <c r="AK870" s="44"/>
      <c r="AL870" s="44"/>
      <c r="AM870" s="44"/>
      <c r="AN870" s="44"/>
      <c r="AO870" s="44"/>
    </row>
    <row r="871" spans="35:41" ht="14.25" customHeight="1" x14ac:dyDescent="0.3">
      <c r="AI871" s="44"/>
      <c r="AJ871" s="49"/>
      <c r="AK871" s="44"/>
      <c r="AL871" s="44"/>
      <c r="AM871" s="44"/>
      <c r="AN871" s="44"/>
      <c r="AO871" s="44"/>
    </row>
    <row r="872" spans="35:41" ht="14.25" customHeight="1" x14ac:dyDescent="0.3">
      <c r="AI872" s="44"/>
      <c r="AJ872" s="49"/>
      <c r="AK872" s="44"/>
      <c r="AL872" s="44"/>
      <c r="AM872" s="44"/>
      <c r="AN872" s="44"/>
      <c r="AO872" s="44"/>
    </row>
    <row r="873" spans="35:41" ht="14.25" customHeight="1" x14ac:dyDescent="0.3">
      <c r="AI873" s="44"/>
      <c r="AJ873" s="49"/>
      <c r="AK873" s="44"/>
      <c r="AL873" s="44"/>
      <c r="AM873" s="44"/>
      <c r="AN873" s="44"/>
      <c r="AO873" s="44"/>
    </row>
    <row r="874" spans="35:41" ht="14.25" customHeight="1" x14ac:dyDescent="0.3">
      <c r="AI874" s="44"/>
      <c r="AJ874" s="49"/>
      <c r="AK874" s="44"/>
      <c r="AL874" s="44"/>
      <c r="AM874" s="44"/>
      <c r="AN874" s="44"/>
      <c r="AO874" s="44"/>
    </row>
    <row r="875" spans="35:41" ht="14.25" customHeight="1" x14ac:dyDescent="0.3">
      <c r="AI875" s="44"/>
      <c r="AJ875" s="49"/>
      <c r="AK875" s="44"/>
      <c r="AL875" s="44"/>
      <c r="AM875" s="44"/>
      <c r="AN875" s="44"/>
      <c r="AO875" s="44"/>
    </row>
    <row r="876" spans="35:41" ht="14.25" customHeight="1" x14ac:dyDescent="0.3">
      <c r="AI876" s="44"/>
      <c r="AJ876" s="49"/>
      <c r="AK876" s="44"/>
      <c r="AL876" s="44"/>
      <c r="AM876" s="44"/>
      <c r="AN876" s="44"/>
      <c r="AO876" s="44"/>
    </row>
    <row r="877" spans="35:41" ht="14.25" customHeight="1" x14ac:dyDescent="0.3">
      <c r="AI877" s="44"/>
      <c r="AJ877" s="49"/>
      <c r="AK877" s="44"/>
      <c r="AL877" s="44"/>
      <c r="AM877" s="44"/>
      <c r="AN877" s="44"/>
      <c r="AO877" s="44"/>
    </row>
    <row r="878" spans="35:41" ht="14.25" customHeight="1" x14ac:dyDescent="0.3">
      <c r="AI878" s="44"/>
      <c r="AJ878" s="49"/>
      <c r="AK878" s="44"/>
      <c r="AL878" s="44"/>
      <c r="AM878" s="44"/>
      <c r="AN878" s="44"/>
      <c r="AO878" s="44"/>
    </row>
    <row r="879" spans="35:41" ht="14.25" customHeight="1" x14ac:dyDescent="0.3">
      <c r="AI879" s="44"/>
      <c r="AJ879" s="49"/>
      <c r="AK879" s="44"/>
      <c r="AL879" s="44"/>
      <c r="AM879" s="44"/>
      <c r="AN879" s="44"/>
      <c r="AO879" s="44"/>
    </row>
    <row r="880" spans="35:41" ht="14.25" customHeight="1" x14ac:dyDescent="0.3">
      <c r="AI880" s="44"/>
      <c r="AJ880" s="49"/>
      <c r="AK880" s="44"/>
      <c r="AL880" s="44"/>
      <c r="AM880" s="44"/>
      <c r="AN880" s="44"/>
      <c r="AO880" s="44"/>
    </row>
    <row r="881" spans="35:41" ht="14.25" customHeight="1" x14ac:dyDescent="0.3">
      <c r="AI881" s="44"/>
      <c r="AJ881" s="49"/>
      <c r="AK881" s="44"/>
      <c r="AL881" s="44"/>
      <c r="AM881" s="44"/>
      <c r="AN881" s="44"/>
      <c r="AO881" s="44"/>
    </row>
    <row r="882" spans="35:41" ht="14.25" customHeight="1" x14ac:dyDescent="0.3">
      <c r="AI882" s="44"/>
      <c r="AJ882" s="49"/>
      <c r="AK882" s="44"/>
      <c r="AL882" s="44"/>
      <c r="AM882" s="44"/>
      <c r="AN882" s="44"/>
      <c r="AO882" s="44"/>
    </row>
    <row r="883" spans="35:41" ht="14.25" customHeight="1" x14ac:dyDescent="0.3">
      <c r="AI883" s="44"/>
      <c r="AJ883" s="49"/>
      <c r="AK883" s="44"/>
      <c r="AL883" s="44"/>
      <c r="AM883" s="44"/>
      <c r="AN883" s="44"/>
      <c r="AO883" s="44"/>
    </row>
    <row r="884" spans="35:41" ht="14.25" customHeight="1" x14ac:dyDescent="0.3">
      <c r="AI884" s="44"/>
      <c r="AJ884" s="49"/>
      <c r="AK884" s="44"/>
      <c r="AL884" s="44"/>
      <c r="AM884" s="44"/>
      <c r="AN884" s="44"/>
      <c r="AO884" s="44"/>
    </row>
    <row r="885" spans="35:41" ht="14.25" customHeight="1" x14ac:dyDescent="0.3">
      <c r="AI885" s="44"/>
      <c r="AJ885" s="49"/>
      <c r="AK885" s="44"/>
      <c r="AL885" s="44"/>
      <c r="AM885" s="44"/>
      <c r="AN885" s="44"/>
      <c r="AO885" s="44"/>
    </row>
    <row r="886" spans="35:41" ht="14.25" customHeight="1" x14ac:dyDescent="0.3">
      <c r="AI886" s="44"/>
      <c r="AJ886" s="49"/>
      <c r="AK886" s="44"/>
      <c r="AL886" s="44"/>
      <c r="AM886" s="44"/>
      <c r="AN886" s="44"/>
      <c r="AO886" s="44"/>
    </row>
    <row r="887" spans="35:41" ht="14.25" customHeight="1" x14ac:dyDescent="0.3">
      <c r="AI887" s="44"/>
      <c r="AJ887" s="49"/>
      <c r="AK887" s="44"/>
      <c r="AL887" s="44"/>
      <c r="AM887" s="44"/>
      <c r="AN887" s="44"/>
      <c r="AO887" s="44"/>
    </row>
    <row r="888" spans="35:41" ht="14.25" customHeight="1" x14ac:dyDescent="0.3">
      <c r="AI888" s="44"/>
      <c r="AJ888" s="49"/>
      <c r="AK888" s="44"/>
      <c r="AL888" s="44"/>
      <c r="AM888" s="44"/>
      <c r="AN888" s="44"/>
      <c r="AO888" s="44"/>
    </row>
    <row r="889" spans="35:41" ht="14.25" customHeight="1" x14ac:dyDescent="0.3">
      <c r="AI889" s="44"/>
      <c r="AJ889" s="49"/>
      <c r="AK889" s="44"/>
      <c r="AL889" s="44"/>
      <c r="AM889" s="44"/>
      <c r="AN889" s="44"/>
      <c r="AO889" s="44"/>
    </row>
    <row r="890" spans="35:41" ht="14.25" customHeight="1" x14ac:dyDescent="0.3">
      <c r="AI890" s="44"/>
      <c r="AJ890" s="49"/>
      <c r="AK890" s="44"/>
      <c r="AL890" s="44"/>
      <c r="AM890" s="44"/>
      <c r="AN890" s="44"/>
      <c r="AO890" s="44"/>
    </row>
    <row r="891" spans="35:41" ht="14.25" customHeight="1" x14ac:dyDescent="0.3">
      <c r="AI891" s="44"/>
      <c r="AJ891" s="49"/>
      <c r="AK891" s="44"/>
      <c r="AL891" s="44"/>
      <c r="AM891" s="44"/>
      <c r="AN891" s="44"/>
      <c r="AO891" s="44"/>
    </row>
    <row r="892" spans="35:41" ht="14.25" customHeight="1" x14ac:dyDescent="0.3">
      <c r="AI892" s="44"/>
      <c r="AJ892" s="49"/>
      <c r="AK892" s="44"/>
      <c r="AL892" s="44"/>
      <c r="AM892" s="44"/>
      <c r="AN892" s="44"/>
      <c r="AO892" s="44"/>
    </row>
    <row r="893" spans="35:41" ht="14.25" customHeight="1" x14ac:dyDescent="0.3">
      <c r="AI893" s="44"/>
      <c r="AJ893" s="49"/>
      <c r="AK893" s="44"/>
      <c r="AL893" s="44"/>
      <c r="AM893" s="44"/>
      <c r="AN893" s="44"/>
      <c r="AO893" s="44"/>
    </row>
    <row r="894" spans="35:41" ht="14.25" customHeight="1" x14ac:dyDescent="0.3">
      <c r="AI894" s="44"/>
      <c r="AJ894" s="49"/>
      <c r="AK894" s="44"/>
      <c r="AL894" s="44"/>
      <c r="AM894" s="44"/>
      <c r="AN894" s="44"/>
      <c r="AO894" s="44"/>
    </row>
    <row r="895" spans="35:41" ht="14.25" customHeight="1" x14ac:dyDescent="0.3">
      <c r="AI895" s="44"/>
      <c r="AJ895" s="49"/>
      <c r="AK895" s="44"/>
      <c r="AL895" s="44"/>
      <c r="AM895" s="44"/>
      <c r="AN895" s="44"/>
      <c r="AO895" s="44"/>
    </row>
    <row r="896" spans="35:41" ht="14.25" customHeight="1" x14ac:dyDescent="0.3">
      <c r="AI896" s="44"/>
      <c r="AJ896" s="49"/>
      <c r="AK896" s="44"/>
      <c r="AL896" s="44"/>
      <c r="AM896" s="44"/>
      <c r="AN896" s="44"/>
      <c r="AO896" s="44"/>
    </row>
    <row r="897" spans="35:41" ht="14.25" customHeight="1" x14ac:dyDescent="0.3">
      <c r="AI897" s="44"/>
      <c r="AJ897" s="49"/>
      <c r="AK897" s="44"/>
      <c r="AL897" s="44"/>
      <c r="AM897" s="44"/>
      <c r="AN897" s="44"/>
      <c r="AO897" s="44"/>
    </row>
    <row r="898" spans="35:41" ht="14.25" customHeight="1" x14ac:dyDescent="0.3">
      <c r="AI898" s="44"/>
      <c r="AJ898" s="49"/>
      <c r="AK898" s="44"/>
      <c r="AL898" s="44"/>
      <c r="AM898" s="44"/>
      <c r="AN898" s="44"/>
      <c r="AO898" s="44"/>
    </row>
    <row r="899" spans="35:41" ht="14.25" customHeight="1" x14ac:dyDescent="0.3">
      <c r="AI899" s="44"/>
      <c r="AJ899" s="49"/>
      <c r="AK899" s="44"/>
      <c r="AL899" s="44"/>
      <c r="AM899" s="44"/>
      <c r="AN899" s="44"/>
      <c r="AO899" s="44"/>
    </row>
    <row r="900" spans="35:41" ht="14.25" customHeight="1" x14ac:dyDescent="0.3">
      <c r="AI900" s="44"/>
      <c r="AJ900" s="49"/>
      <c r="AK900" s="44"/>
      <c r="AL900" s="44"/>
      <c r="AM900" s="44"/>
      <c r="AN900" s="44"/>
      <c r="AO900" s="44"/>
    </row>
    <row r="901" spans="35:41" ht="14.25" customHeight="1" x14ac:dyDescent="0.3">
      <c r="AI901" s="44"/>
      <c r="AJ901" s="49"/>
      <c r="AK901" s="44"/>
      <c r="AL901" s="44"/>
      <c r="AM901" s="44"/>
      <c r="AN901" s="44"/>
      <c r="AO901" s="44"/>
    </row>
    <row r="902" spans="35:41" ht="14.25" customHeight="1" x14ac:dyDescent="0.3">
      <c r="AI902" s="44"/>
      <c r="AJ902" s="49"/>
      <c r="AK902" s="44"/>
      <c r="AL902" s="44"/>
      <c r="AM902" s="44"/>
      <c r="AN902" s="44"/>
      <c r="AO902" s="44"/>
    </row>
    <row r="903" spans="35:41" ht="14.25" customHeight="1" x14ac:dyDescent="0.3">
      <c r="AI903" s="44"/>
      <c r="AJ903" s="49"/>
      <c r="AK903" s="44"/>
      <c r="AL903" s="44"/>
      <c r="AM903" s="44"/>
      <c r="AN903" s="44"/>
      <c r="AO903" s="44"/>
    </row>
    <row r="904" spans="35:41" ht="14.25" customHeight="1" x14ac:dyDescent="0.3">
      <c r="AI904" s="44"/>
      <c r="AJ904" s="49"/>
      <c r="AK904" s="44"/>
      <c r="AL904" s="44"/>
      <c r="AM904" s="44"/>
      <c r="AN904" s="44"/>
      <c r="AO904" s="44"/>
    </row>
    <row r="905" spans="35:41" ht="14.25" customHeight="1" x14ac:dyDescent="0.3">
      <c r="AI905" s="44"/>
      <c r="AJ905" s="49"/>
      <c r="AK905" s="44"/>
      <c r="AL905" s="44"/>
      <c r="AM905" s="44"/>
      <c r="AN905" s="44"/>
      <c r="AO905" s="44"/>
    </row>
    <row r="906" spans="35:41" ht="14.25" customHeight="1" x14ac:dyDescent="0.3">
      <c r="AI906" s="44"/>
      <c r="AJ906" s="49"/>
      <c r="AK906" s="44"/>
      <c r="AL906" s="44"/>
      <c r="AM906" s="44"/>
      <c r="AN906" s="44"/>
      <c r="AO906" s="44"/>
    </row>
    <row r="907" spans="35:41" ht="14.25" customHeight="1" x14ac:dyDescent="0.3">
      <c r="AI907" s="44"/>
      <c r="AJ907" s="49"/>
      <c r="AK907" s="44"/>
      <c r="AL907" s="44"/>
      <c r="AM907" s="44"/>
      <c r="AN907" s="44"/>
      <c r="AO907" s="44"/>
    </row>
    <row r="908" spans="35:41" ht="14.25" customHeight="1" x14ac:dyDescent="0.3">
      <c r="AI908" s="44"/>
      <c r="AJ908" s="49"/>
      <c r="AK908" s="44"/>
      <c r="AL908" s="44"/>
      <c r="AM908" s="44"/>
      <c r="AN908" s="44"/>
      <c r="AO908" s="44"/>
    </row>
    <row r="909" spans="35:41" ht="14.25" customHeight="1" x14ac:dyDescent="0.3">
      <c r="AI909" s="44"/>
      <c r="AJ909" s="49"/>
      <c r="AK909" s="44"/>
      <c r="AL909" s="44"/>
      <c r="AM909" s="44"/>
      <c r="AN909" s="44"/>
      <c r="AO909" s="44"/>
    </row>
    <row r="910" spans="35:41" ht="14.25" customHeight="1" x14ac:dyDescent="0.3">
      <c r="AI910" s="44"/>
      <c r="AJ910" s="49"/>
      <c r="AK910" s="44"/>
      <c r="AL910" s="44"/>
      <c r="AM910" s="44"/>
      <c r="AN910" s="44"/>
      <c r="AO910" s="44"/>
    </row>
    <row r="911" spans="35:41" ht="14.25" customHeight="1" x14ac:dyDescent="0.3">
      <c r="AI911" s="44"/>
      <c r="AJ911" s="49"/>
      <c r="AK911" s="44"/>
      <c r="AL911" s="44"/>
      <c r="AM911" s="44"/>
      <c r="AN911" s="44"/>
      <c r="AO911" s="44"/>
    </row>
    <row r="912" spans="35:41" ht="14.25" customHeight="1" x14ac:dyDescent="0.3">
      <c r="AI912" s="44"/>
      <c r="AJ912" s="49"/>
      <c r="AK912" s="44"/>
      <c r="AL912" s="44"/>
      <c r="AM912" s="44"/>
      <c r="AN912" s="44"/>
      <c r="AO912" s="44"/>
    </row>
    <row r="913" spans="35:41" ht="14.25" customHeight="1" x14ac:dyDescent="0.3">
      <c r="AI913" s="44"/>
      <c r="AJ913" s="49"/>
      <c r="AK913" s="44"/>
      <c r="AL913" s="44"/>
      <c r="AM913" s="44"/>
      <c r="AN913" s="44"/>
      <c r="AO913" s="44"/>
    </row>
    <row r="914" spans="35:41" ht="14.25" customHeight="1" x14ac:dyDescent="0.3">
      <c r="AI914" s="44"/>
      <c r="AJ914" s="49"/>
      <c r="AK914" s="44"/>
      <c r="AL914" s="44"/>
      <c r="AM914" s="44"/>
      <c r="AN914" s="44"/>
      <c r="AO914" s="44"/>
    </row>
    <row r="915" spans="35:41" ht="14.25" customHeight="1" x14ac:dyDescent="0.3">
      <c r="AI915" s="44"/>
      <c r="AJ915" s="49"/>
      <c r="AK915" s="44"/>
      <c r="AL915" s="44"/>
      <c r="AM915" s="44"/>
      <c r="AN915" s="44"/>
      <c r="AO915" s="44"/>
    </row>
    <row r="916" spans="35:41" ht="14.25" customHeight="1" x14ac:dyDescent="0.3">
      <c r="AI916" s="44"/>
      <c r="AJ916" s="49"/>
      <c r="AK916" s="44"/>
      <c r="AL916" s="44"/>
      <c r="AM916" s="44"/>
      <c r="AN916" s="44"/>
      <c r="AO916" s="44"/>
    </row>
    <row r="917" spans="35:41" ht="14.25" customHeight="1" x14ac:dyDescent="0.3">
      <c r="AI917" s="44"/>
      <c r="AJ917" s="49"/>
      <c r="AK917" s="44"/>
      <c r="AL917" s="44"/>
      <c r="AM917" s="44"/>
      <c r="AN917" s="44"/>
      <c r="AO917" s="44"/>
    </row>
    <row r="918" spans="35:41" ht="14.25" customHeight="1" x14ac:dyDescent="0.3">
      <c r="AI918" s="44"/>
      <c r="AJ918" s="49"/>
      <c r="AK918" s="44"/>
      <c r="AL918" s="44"/>
      <c r="AM918" s="44"/>
      <c r="AN918" s="44"/>
      <c r="AO918" s="44"/>
    </row>
    <row r="919" spans="35:41" ht="14.25" customHeight="1" x14ac:dyDescent="0.3">
      <c r="AI919" s="44"/>
      <c r="AJ919" s="49"/>
      <c r="AK919" s="44"/>
      <c r="AL919" s="44"/>
      <c r="AM919" s="44"/>
      <c r="AN919" s="44"/>
      <c r="AO919" s="44"/>
    </row>
    <row r="920" spans="35:41" ht="14.25" customHeight="1" x14ac:dyDescent="0.3">
      <c r="AI920" s="44"/>
      <c r="AJ920" s="49"/>
      <c r="AK920" s="44"/>
      <c r="AL920" s="44"/>
      <c r="AM920" s="44"/>
      <c r="AN920" s="44"/>
      <c r="AO920" s="44"/>
    </row>
    <row r="921" spans="35:41" ht="14.25" customHeight="1" x14ac:dyDescent="0.3">
      <c r="AI921" s="44"/>
      <c r="AJ921" s="49"/>
      <c r="AK921" s="44"/>
      <c r="AL921" s="44"/>
      <c r="AM921" s="44"/>
      <c r="AN921" s="44"/>
      <c r="AO921" s="44"/>
    </row>
    <row r="922" spans="35:41" ht="14.25" customHeight="1" x14ac:dyDescent="0.3">
      <c r="AI922" s="44"/>
      <c r="AJ922" s="49"/>
      <c r="AK922" s="44"/>
      <c r="AL922" s="44"/>
      <c r="AM922" s="44"/>
      <c r="AN922" s="44"/>
      <c r="AO922" s="44"/>
    </row>
    <row r="923" spans="35:41" ht="14.25" customHeight="1" x14ac:dyDescent="0.3">
      <c r="AI923" s="44"/>
      <c r="AJ923" s="49"/>
      <c r="AK923" s="44"/>
      <c r="AL923" s="44"/>
      <c r="AM923" s="44"/>
      <c r="AN923" s="44"/>
      <c r="AO923" s="44"/>
    </row>
    <row r="924" spans="35:41" ht="14.25" customHeight="1" x14ac:dyDescent="0.3">
      <c r="AI924" s="44"/>
      <c r="AJ924" s="49"/>
      <c r="AK924" s="44"/>
      <c r="AL924" s="44"/>
      <c r="AM924" s="44"/>
      <c r="AN924" s="44"/>
      <c r="AO924" s="44"/>
    </row>
    <row r="925" spans="35:41" ht="14.25" customHeight="1" x14ac:dyDescent="0.3">
      <c r="AI925" s="44"/>
      <c r="AJ925" s="49"/>
      <c r="AK925" s="44"/>
      <c r="AL925" s="44"/>
      <c r="AM925" s="44"/>
      <c r="AN925" s="44"/>
      <c r="AO925" s="44"/>
    </row>
    <row r="926" spans="35:41" ht="14.25" customHeight="1" x14ac:dyDescent="0.3">
      <c r="AI926" s="44"/>
      <c r="AJ926" s="49"/>
      <c r="AK926" s="44"/>
      <c r="AL926" s="44"/>
      <c r="AM926" s="44"/>
      <c r="AN926" s="44"/>
      <c r="AO926" s="44"/>
    </row>
    <row r="927" spans="35:41" ht="14.25" customHeight="1" x14ac:dyDescent="0.3">
      <c r="AI927" s="44"/>
      <c r="AJ927" s="49"/>
      <c r="AK927" s="44"/>
      <c r="AL927" s="44"/>
      <c r="AM927" s="44"/>
      <c r="AN927" s="44"/>
      <c r="AO927" s="44"/>
    </row>
    <row r="928" spans="35:41" ht="14.25" customHeight="1" x14ac:dyDescent="0.3">
      <c r="AI928" s="44"/>
      <c r="AJ928" s="49"/>
      <c r="AK928" s="44"/>
      <c r="AL928" s="44"/>
      <c r="AM928" s="44"/>
      <c r="AN928" s="44"/>
      <c r="AO928" s="44"/>
    </row>
    <row r="929" spans="35:41" ht="14.25" customHeight="1" x14ac:dyDescent="0.3">
      <c r="AI929" s="44"/>
      <c r="AJ929" s="49"/>
      <c r="AK929" s="44"/>
      <c r="AL929" s="44"/>
      <c r="AM929" s="44"/>
      <c r="AN929" s="44"/>
      <c r="AO929" s="44"/>
    </row>
    <row r="930" spans="35:41" ht="14.25" customHeight="1" x14ac:dyDescent="0.3">
      <c r="AI930" s="44"/>
      <c r="AJ930" s="49"/>
      <c r="AK930" s="44"/>
      <c r="AL930" s="44"/>
      <c r="AM930" s="44"/>
      <c r="AN930" s="44"/>
      <c r="AO930" s="44"/>
    </row>
    <row r="931" spans="35:41" ht="14.25" customHeight="1" x14ac:dyDescent="0.3">
      <c r="AI931" s="44"/>
      <c r="AJ931" s="49"/>
      <c r="AK931" s="44"/>
      <c r="AL931" s="44"/>
      <c r="AM931" s="44"/>
      <c r="AN931" s="44"/>
      <c r="AO931" s="44"/>
    </row>
    <row r="932" spans="35:41" ht="14.25" customHeight="1" x14ac:dyDescent="0.3">
      <c r="AI932" s="44"/>
      <c r="AJ932" s="49"/>
      <c r="AK932" s="44"/>
      <c r="AL932" s="44"/>
      <c r="AM932" s="44"/>
      <c r="AN932" s="44"/>
      <c r="AO932" s="44"/>
    </row>
    <row r="933" spans="35:41" ht="14.25" customHeight="1" x14ac:dyDescent="0.3">
      <c r="AI933" s="44"/>
      <c r="AJ933" s="49"/>
      <c r="AK933" s="44"/>
      <c r="AL933" s="44"/>
      <c r="AM933" s="44"/>
      <c r="AN933" s="44"/>
      <c r="AO933" s="44"/>
    </row>
    <row r="934" spans="35:41" ht="14.25" customHeight="1" x14ac:dyDescent="0.3">
      <c r="AI934" s="44"/>
      <c r="AJ934" s="49"/>
      <c r="AK934" s="44"/>
      <c r="AL934" s="44"/>
      <c r="AM934" s="44"/>
      <c r="AN934" s="44"/>
      <c r="AO934" s="44"/>
    </row>
    <row r="935" spans="35:41" ht="14.25" customHeight="1" x14ac:dyDescent="0.3">
      <c r="AI935" s="44"/>
      <c r="AJ935" s="49"/>
      <c r="AK935" s="44"/>
      <c r="AL935" s="44"/>
      <c r="AM935" s="44"/>
      <c r="AN935" s="44"/>
      <c r="AO935" s="44"/>
    </row>
    <row r="936" spans="35:41" ht="14.25" customHeight="1" x14ac:dyDescent="0.3">
      <c r="AI936" s="44"/>
      <c r="AJ936" s="49"/>
      <c r="AK936" s="44"/>
      <c r="AL936" s="44"/>
      <c r="AM936" s="44"/>
      <c r="AN936" s="44"/>
      <c r="AO936" s="44"/>
    </row>
    <row r="937" spans="35:41" ht="14.25" customHeight="1" x14ac:dyDescent="0.3">
      <c r="AI937" s="44"/>
      <c r="AJ937" s="49"/>
      <c r="AK937" s="44"/>
      <c r="AL937" s="44"/>
      <c r="AM937" s="44"/>
      <c r="AN937" s="44"/>
      <c r="AO937" s="44"/>
    </row>
    <row r="938" spans="35:41" ht="14.25" customHeight="1" x14ac:dyDescent="0.3">
      <c r="AI938" s="44"/>
      <c r="AJ938" s="49"/>
      <c r="AK938" s="44"/>
      <c r="AL938" s="44"/>
      <c r="AM938" s="44"/>
      <c r="AN938" s="44"/>
      <c r="AO938" s="44"/>
    </row>
    <row r="939" spans="35:41" ht="14.25" customHeight="1" x14ac:dyDescent="0.3">
      <c r="AI939" s="44"/>
      <c r="AJ939" s="49"/>
      <c r="AK939" s="44"/>
      <c r="AL939" s="44"/>
      <c r="AM939" s="44"/>
      <c r="AN939" s="44"/>
      <c r="AO939" s="44"/>
    </row>
    <row r="940" spans="35:41" ht="14.25" customHeight="1" x14ac:dyDescent="0.3">
      <c r="AI940" s="44"/>
      <c r="AJ940" s="49"/>
      <c r="AK940" s="44"/>
      <c r="AL940" s="44"/>
      <c r="AM940" s="44"/>
      <c r="AN940" s="44"/>
      <c r="AO940" s="44"/>
    </row>
    <row r="941" spans="35:41" ht="14.25" customHeight="1" x14ac:dyDescent="0.3">
      <c r="AI941" s="44"/>
      <c r="AJ941" s="49"/>
      <c r="AK941" s="44"/>
      <c r="AL941" s="44"/>
      <c r="AM941" s="44"/>
      <c r="AN941" s="44"/>
      <c r="AO941" s="44"/>
    </row>
    <row r="942" spans="35:41" ht="14.25" customHeight="1" x14ac:dyDescent="0.3">
      <c r="AI942" s="44"/>
      <c r="AJ942" s="49"/>
      <c r="AK942" s="44"/>
      <c r="AL942" s="44"/>
      <c r="AM942" s="44"/>
      <c r="AN942" s="44"/>
      <c r="AO942" s="44"/>
    </row>
    <row r="943" spans="35:41" ht="14.25" customHeight="1" x14ac:dyDescent="0.3">
      <c r="AI943" s="44"/>
      <c r="AJ943" s="49"/>
      <c r="AK943" s="44"/>
      <c r="AL943" s="44"/>
      <c r="AM943" s="44"/>
      <c r="AN943" s="44"/>
      <c r="AO943" s="44"/>
    </row>
    <row r="944" spans="35:41" ht="14.25" customHeight="1" x14ac:dyDescent="0.3">
      <c r="AI944" s="44"/>
      <c r="AJ944" s="49"/>
      <c r="AK944" s="44"/>
      <c r="AL944" s="44"/>
      <c r="AM944" s="44"/>
      <c r="AN944" s="44"/>
      <c r="AO944" s="44"/>
    </row>
    <row r="945" spans="35:41" ht="14.25" customHeight="1" x14ac:dyDescent="0.3">
      <c r="AI945" s="44"/>
      <c r="AJ945" s="49"/>
      <c r="AK945" s="44"/>
      <c r="AL945" s="44"/>
      <c r="AM945" s="44"/>
      <c r="AN945" s="44"/>
      <c r="AO945" s="44"/>
    </row>
    <row r="946" spans="35:41" ht="14.25" customHeight="1" x14ac:dyDescent="0.3">
      <c r="AI946" s="44"/>
      <c r="AJ946" s="49"/>
      <c r="AK946" s="44"/>
      <c r="AL946" s="44"/>
      <c r="AM946" s="44"/>
      <c r="AN946" s="44"/>
      <c r="AO946" s="44"/>
    </row>
    <row r="947" spans="35:41" ht="14.25" customHeight="1" x14ac:dyDescent="0.3">
      <c r="AI947" s="44"/>
      <c r="AJ947" s="49"/>
      <c r="AK947" s="44"/>
      <c r="AL947" s="44"/>
      <c r="AM947" s="44"/>
      <c r="AN947" s="44"/>
      <c r="AO947" s="44"/>
    </row>
    <row r="948" spans="35:41" ht="14.25" customHeight="1" x14ac:dyDescent="0.3">
      <c r="AI948" s="44"/>
      <c r="AJ948" s="49"/>
      <c r="AK948" s="44"/>
      <c r="AL948" s="44"/>
      <c r="AM948" s="44"/>
      <c r="AN948" s="44"/>
      <c r="AO948" s="44"/>
    </row>
    <row r="949" spans="35:41" ht="14.25" customHeight="1" x14ac:dyDescent="0.3">
      <c r="AI949" s="44"/>
      <c r="AJ949" s="49"/>
      <c r="AK949" s="44"/>
      <c r="AL949" s="44"/>
      <c r="AM949" s="44"/>
      <c r="AN949" s="44"/>
      <c r="AO949" s="44"/>
    </row>
    <row r="950" spans="35:41" ht="14.25" customHeight="1" x14ac:dyDescent="0.3">
      <c r="AI950" s="44"/>
      <c r="AJ950" s="49"/>
      <c r="AK950" s="44"/>
      <c r="AL950" s="44"/>
      <c r="AM950" s="44"/>
      <c r="AN950" s="44"/>
      <c r="AO950" s="44"/>
    </row>
    <row r="951" spans="35:41" ht="14.25" customHeight="1" x14ac:dyDescent="0.3">
      <c r="AI951" s="44"/>
      <c r="AJ951" s="49"/>
      <c r="AK951" s="44"/>
      <c r="AL951" s="44"/>
      <c r="AM951" s="44"/>
      <c r="AN951" s="44"/>
      <c r="AO951" s="44"/>
    </row>
    <row r="952" spans="35:41" ht="14.25" customHeight="1" x14ac:dyDescent="0.3">
      <c r="AI952" s="44"/>
      <c r="AJ952" s="49"/>
      <c r="AK952" s="44"/>
      <c r="AL952" s="44"/>
      <c r="AM952" s="44"/>
      <c r="AN952" s="44"/>
      <c r="AO952" s="44"/>
    </row>
    <row r="953" spans="35:41" ht="14.25" customHeight="1" x14ac:dyDescent="0.3">
      <c r="AI953" s="44"/>
      <c r="AJ953" s="49"/>
      <c r="AK953" s="44"/>
      <c r="AL953" s="44"/>
      <c r="AM953" s="44"/>
      <c r="AN953" s="44"/>
      <c r="AO953" s="44"/>
    </row>
    <row r="954" spans="35:41" ht="14.25" customHeight="1" x14ac:dyDescent="0.3">
      <c r="AI954" s="44"/>
      <c r="AJ954" s="49"/>
      <c r="AK954" s="44"/>
      <c r="AL954" s="44"/>
      <c r="AM954" s="44"/>
      <c r="AN954" s="44"/>
      <c r="AO954" s="44"/>
    </row>
    <row r="955" spans="35:41" ht="14.25" customHeight="1" x14ac:dyDescent="0.3">
      <c r="AI955" s="44"/>
      <c r="AJ955" s="49"/>
      <c r="AK955" s="44"/>
      <c r="AL955" s="44"/>
      <c r="AM955" s="44"/>
      <c r="AN955" s="44"/>
      <c r="AO955" s="44"/>
    </row>
    <row r="956" spans="35:41" ht="14.25" customHeight="1" x14ac:dyDescent="0.3">
      <c r="AI956" s="44"/>
      <c r="AJ956" s="49"/>
      <c r="AK956" s="44"/>
      <c r="AL956" s="44"/>
      <c r="AM956" s="44"/>
      <c r="AN956" s="44"/>
      <c r="AO956" s="44"/>
    </row>
    <row r="957" spans="35:41" ht="14.25" customHeight="1" x14ac:dyDescent="0.3">
      <c r="AI957" s="44"/>
      <c r="AJ957" s="49"/>
      <c r="AK957" s="44"/>
      <c r="AL957" s="44"/>
      <c r="AM957" s="44"/>
      <c r="AN957" s="44"/>
      <c r="AO957" s="44"/>
    </row>
    <row r="958" spans="35:41" ht="14.25" customHeight="1" x14ac:dyDescent="0.3">
      <c r="AI958" s="44"/>
      <c r="AJ958" s="49"/>
      <c r="AK958" s="44"/>
      <c r="AL958" s="44"/>
      <c r="AM958" s="44"/>
      <c r="AN958" s="44"/>
      <c r="AO958" s="44"/>
    </row>
    <row r="959" spans="35:41" ht="14.25" customHeight="1" x14ac:dyDescent="0.3">
      <c r="AI959" s="44"/>
      <c r="AJ959" s="49"/>
      <c r="AK959" s="44"/>
      <c r="AL959" s="44"/>
      <c r="AM959" s="44"/>
      <c r="AN959" s="44"/>
      <c r="AO959" s="44"/>
    </row>
    <row r="960" spans="35:41" ht="14.25" customHeight="1" x14ac:dyDescent="0.3">
      <c r="AI960" s="44"/>
      <c r="AJ960" s="49"/>
      <c r="AK960" s="44"/>
      <c r="AL960" s="44"/>
      <c r="AM960" s="44"/>
      <c r="AN960" s="44"/>
      <c r="AO960" s="44"/>
    </row>
    <row r="961" spans="35:41" ht="14.25" customHeight="1" x14ac:dyDescent="0.3">
      <c r="AI961" s="44"/>
      <c r="AJ961" s="49"/>
      <c r="AK961" s="44"/>
      <c r="AL961" s="44"/>
      <c r="AM961" s="44"/>
      <c r="AN961" s="44"/>
      <c r="AO961" s="44"/>
    </row>
    <row r="962" spans="35:41" ht="14.25" customHeight="1" x14ac:dyDescent="0.3">
      <c r="AI962" s="44"/>
      <c r="AJ962" s="49"/>
      <c r="AK962" s="44"/>
      <c r="AL962" s="44"/>
      <c r="AM962" s="44"/>
      <c r="AN962" s="44"/>
      <c r="AO962" s="44"/>
    </row>
    <row r="963" spans="35:41" ht="14.25" customHeight="1" x14ac:dyDescent="0.3">
      <c r="AI963" s="44"/>
      <c r="AJ963" s="49"/>
      <c r="AK963" s="44"/>
      <c r="AL963" s="44"/>
      <c r="AM963" s="44"/>
      <c r="AN963" s="44"/>
      <c r="AO963" s="44"/>
    </row>
    <row r="964" spans="35:41" ht="14.25" customHeight="1" x14ac:dyDescent="0.3">
      <c r="AI964" s="44"/>
      <c r="AJ964" s="49"/>
      <c r="AK964" s="44"/>
      <c r="AL964" s="44"/>
      <c r="AM964" s="44"/>
      <c r="AN964" s="44"/>
      <c r="AO964" s="44"/>
    </row>
    <row r="965" spans="35:41" ht="14.25" customHeight="1" x14ac:dyDescent="0.3">
      <c r="AI965" s="44"/>
      <c r="AJ965" s="49"/>
      <c r="AK965" s="44"/>
      <c r="AL965" s="44"/>
      <c r="AM965" s="44"/>
      <c r="AN965" s="44"/>
      <c r="AO965" s="44"/>
    </row>
    <row r="966" spans="35:41" ht="14.25" customHeight="1" x14ac:dyDescent="0.3">
      <c r="AI966" s="44"/>
      <c r="AJ966" s="49"/>
      <c r="AK966" s="44"/>
      <c r="AL966" s="44"/>
      <c r="AM966" s="44"/>
      <c r="AN966" s="44"/>
      <c r="AO966" s="44"/>
    </row>
    <row r="967" spans="35:41" ht="14.25" customHeight="1" x14ac:dyDescent="0.3">
      <c r="AI967" s="44"/>
      <c r="AJ967" s="49"/>
      <c r="AK967" s="44"/>
      <c r="AL967" s="44"/>
      <c r="AM967" s="44"/>
      <c r="AN967" s="44"/>
      <c r="AO967" s="44"/>
    </row>
    <row r="968" spans="35:41" ht="14.25" customHeight="1" x14ac:dyDescent="0.3">
      <c r="AI968" s="44"/>
      <c r="AJ968" s="49"/>
      <c r="AK968" s="44"/>
      <c r="AL968" s="44"/>
      <c r="AM968" s="44"/>
      <c r="AN968" s="44"/>
      <c r="AO968" s="44"/>
    </row>
    <row r="969" spans="35:41" ht="14.25" customHeight="1" x14ac:dyDescent="0.3">
      <c r="AI969" s="44"/>
      <c r="AJ969" s="49"/>
      <c r="AK969" s="44"/>
      <c r="AL969" s="44"/>
      <c r="AM969" s="44"/>
      <c r="AN969" s="44"/>
      <c r="AO969" s="44"/>
    </row>
    <row r="970" spans="35:41" ht="14.25" customHeight="1" x14ac:dyDescent="0.3">
      <c r="AI970" s="44"/>
      <c r="AJ970" s="49"/>
      <c r="AK970" s="44"/>
      <c r="AL970" s="44"/>
      <c r="AM970" s="44"/>
      <c r="AN970" s="44"/>
      <c r="AO970" s="44"/>
    </row>
    <row r="971" spans="35:41" ht="14.25" customHeight="1" x14ac:dyDescent="0.3">
      <c r="AI971" s="44"/>
      <c r="AJ971" s="49"/>
      <c r="AK971" s="44"/>
      <c r="AL971" s="44"/>
      <c r="AM971" s="44"/>
      <c r="AN971" s="44"/>
      <c r="AO971" s="44"/>
    </row>
    <row r="972" spans="35:41" ht="14.25" customHeight="1" x14ac:dyDescent="0.3">
      <c r="AI972" s="44"/>
      <c r="AJ972" s="49"/>
      <c r="AK972" s="44"/>
      <c r="AL972" s="44"/>
      <c r="AM972" s="44"/>
      <c r="AN972" s="44"/>
      <c r="AO972" s="44"/>
    </row>
    <row r="973" spans="35:41" ht="14.25" customHeight="1" x14ac:dyDescent="0.3">
      <c r="AI973" s="44"/>
      <c r="AJ973" s="49"/>
      <c r="AK973" s="44"/>
      <c r="AL973" s="44"/>
      <c r="AM973" s="44"/>
      <c r="AN973" s="44"/>
      <c r="AO973" s="44"/>
    </row>
    <row r="974" spans="35:41" ht="14.25" customHeight="1" x14ac:dyDescent="0.3">
      <c r="AI974" s="44"/>
      <c r="AJ974" s="49"/>
      <c r="AK974" s="44"/>
      <c r="AL974" s="44"/>
      <c r="AM974" s="44"/>
      <c r="AN974" s="44"/>
      <c r="AO974" s="44"/>
    </row>
    <row r="975" spans="35:41" ht="14.25" customHeight="1" x14ac:dyDescent="0.3">
      <c r="AI975" s="44"/>
      <c r="AJ975" s="49"/>
      <c r="AK975" s="44"/>
      <c r="AL975" s="44"/>
      <c r="AM975" s="44"/>
      <c r="AN975" s="44"/>
      <c r="AO975" s="44"/>
    </row>
    <row r="976" spans="35:41" ht="14.25" customHeight="1" x14ac:dyDescent="0.3">
      <c r="AI976" s="44"/>
      <c r="AJ976" s="49"/>
      <c r="AK976" s="44"/>
      <c r="AL976" s="44"/>
      <c r="AM976" s="44"/>
      <c r="AN976" s="44"/>
      <c r="AO976" s="44"/>
    </row>
    <row r="977" spans="35:41" ht="14.25" customHeight="1" x14ac:dyDescent="0.3">
      <c r="AI977" s="44"/>
      <c r="AJ977" s="49"/>
      <c r="AK977" s="44"/>
      <c r="AL977" s="44"/>
      <c r="AM977" s="44"/>
      <c r="AN977" s="44"/>
      <c r="AO977" s="44"/>
    </row>
    <row r="978" spans="35:41" ht="14.25" customHeight="1" x14ac:dyDescent="0.3">
      <c r="AI978" s="44"/>
      <c r="AJ978" s="49"/>
      <c r="AK978" s="44"/>
      <c r="AL978" s="44"/>
      <c r="AM978" s="44"/>
      <c r="AN978" s="44"/>
      <c r="AO978" s="44"/>
    </row>
    <row r="979" spans="35:41" ht="14.25" customHeight="1" x14ac:dyDescent="0.3">
      <c r="AI979" s="44"/>
      <c r="AJ979" s="49"/>
      <c r="AK979" s="44"/>
      <c r="AL979" s="44"/>
      <c r="AM979" s="44"/>
      <c r="AN979" s="44"/>
      <c r="AO979" s="44"/>
    </row>
    <row r="980" spans="35:41" ht="14.25" customHeight="1" x14ac:dyDescent="0.3">
      <c r="AI980" s="44"/>
      <c r="AJ980" s="49"/>
      <c r="AK980" s="44"/>
      <c r="AL980" s="44"/>
      <c r="AM980" s="44"/>
      <c r="AN980" s="44"/>
      <c r="AO980" s="44"/>
    </row>
    <row r="981" spans="35:41" ht="14.25" customHeight="1" x14ac:dyDescent="0.3">
      <c r="AI981" s="44"/>
      <c r="AJ981" s="49"/>
      <c r="AK981" s="44"/>
      <c r="AL981" s="44"/>
      <c r="AM981" s="44"/>
      <c r="AN981" s="44"/>
      <c r="AO981" s="44"/>
    </row>
    <row r="982" spans="35:41" ht="14.25" customHeight="1" x14ac:dyDescent="0.3">
      <c r="AI982" s="44"/>
      <c r="AJ982" s="49"/>
      <c r="AK982" s="44"/>
      <c r="AL982" s="44"/>
      <c r="AM982" s="44"/>
      <c r="AN982" s="44"/>
      <c r="AO982" s="44"/>
    </row>
    <row r="983" spans="35:41" ht="14.25" customHeight="1" x14ac:dyDescent="0.3">
      <c r="AI983" s="44"/>
      <c r="AJ983" s="49"/>
      <c r="AK983" s="44"/>
      <c r="AL983" s="44"/>
      <c r="AM983" s="44"/>
      <c r="AN983" s="44"/>
      <c r="AO983" s="44"/>
    </row>
    <row r="984" spans="35:41" ht="14.25" customHeight="1" x14ac:dyDescent="0.3">
      <c r="AI984" s="44"/>
      <c r="AJ984" s="49"/>
      <c r="AK984" s="44"/>
      <c r="AL984" s="44"/>
      <c r="AM984" s="44"/>
      <c r="AN984" s="44"/>
      <c r="AO984" s="44"/>
    </row>
    <row r="985" spans="35:41" ht="14.25" customHeight="1" x14ac:dyDescent="0.3">
      <c r="AI985" s="44"/>
      <c r="AJ985" s="49"/>
      <c r="AK985" s="44"/>
      <c r="AL985" s="44"/>
      <c r="AM985" s="44"/>
      <c r="AN985" s="44"/>
      <c r="AO985" s="4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54F0-5AC0-4F74-A374-43CC259A4E5B}">
  <dimension ref="A1:F91"/>
  <sheetViews>
    <sheetView topLeftCell="A65" workbookViewId="0">
      <selection activeCell="C2" sqref="C2:D91"/>
    </sheetView>
  </sheetViews>
  <sheetFormatPr defaultColWidth="18.44140625" defaultRowHeight="14.4" x14ac:dyDescent="0.3"/>
  <cols>
    <col min="1" max="1" width="58.21875" customWidth="1"/>
    <col min="2" max="2" width="66.44140625" customWidth="1"/>
  </cols>
  <sheetData>
    <row r="1" spans="1:6" x14ac:dyDescent="0.3">
      <c r="A1" t="s">
        <v>0</v>
      </c>
      <c r="B1" t="s">
        <v>111</v>
      </c>
      <c r="C1" t="s">
        <v>212</v>
      </c>
      <c r="D1" t="s">
        <v>213</v>
      </c>
      <c r="E1" t="s">
        <v>45</v>
      </c>
    </row>
    <row r="2" spans="1:6" x14ac:dyDescent="0.3">
      <c r="A2" t="s">
        <v>113</v>
      </c>
      <c r="B2" t="s">
        <v>129</v>
      </c>
      <c r="C2">
        <v>1</v>
      </c>
      <c r="D2">
        <v>1</v>
      </c>
      <c r="E2">
        <v>1</v>
      </c>
    </row>
    <row r="3" spans="1:6" x14ac:dyDescent="0.3">
      <c r="A3" t="s">
        <v>114</v>
      </c>
      <c r="B3" t="s">
        <v>129</v>
      </c>
      <c r="C3">
        <v>1</v>
      </c>
      <c r="D3" s="54">
        <v>0</v>
      </c>
      <c r="E3">
        <v>0</v>
      </c>
      <c r="F3" s="54"/>
    </row>
    <row r="4" spans="1:6" x14ac:dyDescent="0.3">
      <c r="A4" t="s">
        <v>128</v>
      </c>
      <c r="B4" t="s">
        <v>129</v>
      </c>
      <c r="C4">
        <v>1</v>
      </c>
      <c r="D4" s="54">
        <v>1</v>
      </c>
      <c r="E4">
        <v>1</v>
      </c>
      <c r="F4" s="54"/>
    </row>
    <row r="5" spans="1:6" x14ac:dyDescent="0.3">
      <c r="A5" t="s">
        <v>115</v>
      </c>
      <c r="B5" t="s">
        <v>129</v>
      </c>
      <c r="C5">
        <v>1</v>
      </c>
      <c r="D5" s="54">
        <v>1</v>
      </c>
      <c r="E5">
        <v>0</v>
      </c>
      <c r="F5" s="54"/>
    </row>
    <row r="6" spans="1:6" x14ac:dyDescent="0.3">
      <c r="A6" t="s">
        <v>116</v>
      </c>
      <c r="B6" t="s">
        <v>129</v>
      </c>
      <c r="C6">
        <v>0</v>
      </c>
      <c r="D6" s="54">
        <v>0</v>
      </c>
      <c r="E6">
        <v>0</v>
      </c>
      <c r="F6" s="54"/>
    </row>
    <row r="7" spans="1:6" x14ac:dyDescent="0.3">
      <c r="A7" t="s">
        <v>117</v>
      </c>
      <c r="B7" t="s">
        <v>129</v>
      </c>
      <c r="C7">
        <v>0</v>
      </c>
      <c r="D7" s="54">
        <v>0</v>
      </c>
      <c r="E7">
        <v>0</v>
      </c>
      <c r="F7" s="54"/>
    </row>
    <row r="8" spans="1:6" x14ac:dyDescent="0.3">
      <c r="A8" t="s">
        <v>118</v>
      </c>
      <c r="B8" t="s">
        <v>129</v>
      </c>
      <c r="C8">
        <v>0</v>
      </c>
      <c r="D8" s="54">
        <v>0</v>
      </c>
      <c r="E8">
        <v>0</v>
      </c>
      <c r="F8" s="54"/>
    </row>
    <row r="9" spans="1:6" x14ac:dyDescent="0.3">
      <c r="A9" t="s">
        <v>119</v>
      </c>
      <c r="B9" t="s">
        <v>129</v>
      </c>
      <c r="C9">
        <v>0</v>
      </c>
      <c r="D9" s="54">
        <v>0</v>
      </c>
      <c r="E9">
        <v>0</v>
      </c>
      <c r="F9" s="54"/>
    </row>
    <row r="10" spans="1:6" x14ac:dyDescent="0.3">
      <c r="A10" t="s">
        <v>127</v>
      </c>
      <c r="B10" t="s">
        <v>129</v>
      </c>
      <c r="C10">
        <v>1</v>
      </c>
      <c r="D10" s="54">
        <v>0</v>
      </c>
      <c r="E10">
        <v>1</v>
      </c>
      <c r="F10" s="54"/>
    </row>
    <row r="11" spans="1:6" x14ac:dyDescent="0.3">
      <c r="A11" t="s">
        <v>120</v>
      </c>
      <c r="B11" t="s">
        <v>129</v>
      </c>
      <c r="C11">
        <v>0</v>
      </c>
      <c r="D11" s="54">
        <v>0</v>
      </c>
      <c r="E11">
        <v>0</v>
      </c>
      <c r="F11" s="54"/>
    </row>
    <row r="12" spans="1:6" x14ac:dyDescent="0.3">
      <c r="A12" t="s">
        <v>121</v>
      </c>
      <c r="B12" t="s">
        <v>129</v>
      </c>
      <c r="C12">
        <v>1</v>
      </c>
      <c r="D12" s="54">
        <v>0</v>
      </c>
      <c r="E12">
        <v>0</v>
      </c>
      <c r="F12" s="54"/>
    </row>
    <row r="13" spans="1:6" x14ac:dyDescent="0.3">
      <c r="A13" t="s">
        <v>122</v>
      </c>
      <c r="B13" t="s">
        <v>129</v>
      </c>
      <c r="C13">
        <v>0</v>
      </c>
      <c r="D13" s="54">
        <v>0</v>
      </c>
      <c r="E13">
        <v>0</v>
      </c>
      <c r="F13" s="54"/>
    </row>
    <row r="14" spans="1:6" x14ac:dyDescent="0.3">
      <c r="A14" t="s">
        <v>123</v>
      </c>
      <c r="B14" t="s">
        <v>129</v>
      </c>
      <c r="C14">
        <v>0</v>
      </c>
      <c r="D14" s="54">
        <v>0</v>
      </c>
      <c r="E14">
        <v>0</v>
      </c>
      <c r="F14" s="54"/>
    </row>
    <row r="15" spans="1:6" x14ac:dyDescent="0.3">
      <c r="A15" t="s">
        <v>124</v>
      </c>
      <c r="B15" t="s">
        <v>129</v>
      </c>
      <c r="C15">
        <v>1</v>
      </c>
      <c r="D15" s="54">
        <v>0</v>
      </c>
      <c r="E15">
        <v>0</v>
      </c>
      <c r="F15" s="54"/>
    </row>
    <row r="16" spans="1:6" x14ac:dyDescent="0.3">
      <c r="A16" t="s">
        <v>125</v>
      </c>
      <c r="B16" t="s">
        <v>129</v>
      </c>
      <c r="C16">
        <v>0</v>
      </c>
      <c r="D16">
        <v>0</v>
      </c>
      <c r="E16">
        <v>0</v>
      </c>
    </row>
    <row r="17" spans="1:5" x14ac:dyDescent="0.3">
      <c r="A17" t="s">
        <v>126</v>
      </c>
      <c r="B17" t="s">
        <v>129</v>
      </c>
      <c r="C17">
        <v>0</v>
      </c>
      <c r="D17">
        <v>0</v>
      </c>
      <c r="E17">
        <v>0</v>
      </c>
    </row>
    <row r="18" spans="1:5" x14ac:dyDescent="0.3">
      <c r="A18" t="s">
        <v>130</v>
      </c>
      <c r="B18" t="s">
        <v>135</v>
      </c>
      <c r="C18">
        <v>1</v>
      </c>
      <c r="D18">
        <v>0</v>
      </c>
      <c r="E18">
        <v>0</v>
      </c>
    </row>
    <row r="19" spans="1:5" x14ac:dyDescent="0.3">
      <c r="A19" t="s">
        <v>131</v>
      </c>
      <c r="B19" t="s">
        <v>135</v>
      </c>
      <c r="C19">
        <v>1</v>
      </c>
      <c r="D19">
        <v>0</v>
      </c>
      <c r="E19">
        <v>0</v>
      </c>
    </row>
    <row r="20" spans="1:5" x14ac:dyDescent="0.3">
      <c r="A20" t="s">
        <v>132</v>
      </c>
      <c r="B20" t="s">
        <v>135</v>
      </c>
      <c r="C20">
        <v>1</v>
      </c>
      <c r="D20">
        <v>1</v>
      </c>
      <c r="E20">
        <v>1</v>
      </c>
    </row>
    <row r="21" spans="1:5" x14ac:dyDescent="0.3">
      <c r="A21" t="s">
        <v>133</v>
      </c>
      <c r="B21" t="s">
        <v>135</v>
      </c>
      <c r="C21">
        <v>0</v>
      </c>
      <c r="D21">
        <v>0</v>
      </c>
      <c r="E21">
        <v>0</v>
      </c>
    </row>
    <row r="22" spans="1:5" x14ac:dyDescent="0.3">
      <c r="A22" t="s">
        <v>134</v>
      </c>
      <c r="B22" t="s">
        <v>135</v>
      </c>
      <c r="C22">
        <v>0</v>
      </c>
      <c r="D22">
        <v>0</v>
      </c>
      <c r="E22">
        <v>0</v>
      </c>
    </row>
    <row r="23" spans="1:5" x14ac:dyDescent="0.3">
      <c r="A23" t="s">
        <v>136</v>
      </c>
      <c r="B23" t="s">
        <v>159</v>
      </c>
      <c r="C23">
        <v>1</v>
      </c>
      <c r="D23">
        <v>1</v>
      </c>
      <c r="E23">
        <v>1</v>
      </c>
    </row>
    <row r="24" spans="1:5" x14ac:dyDescent="0.3">
      <c r="A24" t="s">
        <v>137</v>
      </c>
      <c r="B24" t="s">
        <v>159</v>
      </c>
      <c r="C24">
        <v>1</v>
      </c>
      <c r="D24">
        <v>0</v>
      </c>
      <c r="E24">
        <v>0</v>
      </c>
    </row>
    <row r="25" spans="1:5" x14ac:dyDescent="0.3">
      <c r="A25" t="s">
        <v>138</v>
      </c>
      <c r="B25" t="s">
        <v>159</v>
      </c>
      <c r="C25">
        <v>0</v>
      </c>
      <c r="D25">
        <v>0</v>
      </c>
      <c r="E25">
        <v>1</v>
      </c>
    </row>
    <row r="26" spans="1:5" x14ac:dyDescent="0.3">
      <c r="A26" t="s">
        <v>139</v>
      </c>
      <c r="B26" t="s">
        <v>159</v>
      </c>
      <c r="C26">
        <v>1</v>
      </c>
      <c r="D26">
        <v>1</v>
      </c>
      <c r="E26">
        <v>0</v>
      </c>
    </row>
    <row r="27" spans="1:5" x14ac:dyDescent="0.3">
      <c r="A27" t="s">
        <v>140</v>
      </c>
      <c r="B27" t="s">
        <v>159</v>
      </c>
      <c r="C27">
        <v>1</v>
      </c>
      <c r="D27">
        <v>0</v>
      </c>
      <c r="E27">
        <v>1</v>
      </c>
    </row>
    <row r="28" spans="1:5" x14ac:dyDescent="0.3">
      <c r="A28" t="s">
        <v>141</v>
      </c>
      <c r="B28" t="s">
        <v>159</v>
      </c>
      <c r="C28">
        <v>0</v>
      </c>
      <c r="D28">
        <v>0</v>
      </c>
      <c r="E28">
        <v>0</v>
      </c>
    </row>
    <row r="29" spans="1:5" x14ac:dyDescent="0.3">
      <c r="A29" t="s">
        <v>142</v>
      </c>
      <c r="B29" t="s">
        <v>159</v>
      </c>
      <c r="C29">
        <v>0</v>
      </c>
      <c r="D29">
        <v>0</v>
      </c>
      <c r="E29">
        <v>0</v>
      </c>
    </row>
    <row r="30" spans="1:5" x14ac:dyDescent="0.3">
      <c r="A30" t="s">
        <v>75</v>
      </c>
      <c r="B30" t="s">
        <v>159</v>
      </c>
      <c r="C30">
        <v>0</v>
      </c>
      <c r="D30">
        <v>0</v>
      </c>
      <c r="E30">
        <v>0</v>
      </c>
    </row>
    <row r="31" spans="1:5" x14ac:dyDescent="0.3">
      <c r="A31" t="s">
        <v>143</v>
      </c>
      <c r="B31" t="s">
        <v>159</v>
      </c>
      <c r="C31">
        <v>0</v>
      </c>
      <c r="D31">
        <v>0</v>
      </c>
      <c r="E31">
        <v>0</v>
      </c>
    </row>
    <row r="32" spans="1:5" x14ac:dyDescent="0.3">
      <c r="A32" t="s">
        <v>144</v>
      </c>
      <c r="B32" t="s">
        <v>159</v>
      </c>
      <c r="C32">
        <v>1</v>
      </c>
      <c r="D32">
        <v>0</v>
      </c>
      <c r="E32">
        <v>1</v>
      </c>
    </row>
    <row r="33" spans="1:5" x14ac:dyDescent="0.3">
      <c r="A33" t="s">
        <v>145</v>
      </c>
      <c r="B33" t="s">
        <v>159</v>
      </c>
      <c r="C33">
        <v>1</v>
      </c>
      <c r="D33">
        <v>0</v>
      </c>
      <c r="E33">
        <v>0</v>
      </c>
    </row>
    <row r="34" spans="1:5" x14ac:dyDescent="0.3">
      <c r="A34" t="s">
        <v>146</v>
      </c>
      <c r="B34" t="s">
        <v>159</v>
      </c>
      <c r="C34">
        <v>1</v>
      </c>
      <c r="D34">
        <v>0</v>
      </c>
      <c r="E34">
        <v>0</v>
      </c>
    </row>
    <row r="35" spans="1:5" x14ac:dyDescent="0.3">
      <c r="A35" t="s">
        <v>147</v>
      </c>
      <c r="B35" t="s">
        <v>159</v>
      </c>
      <c r="C35">
        <v>0</v>
      </c>
      <c r="D35">
        <v>0</v>
      </c>
      <c r="E35">
        <v>0</v>
      </c>
    </row>
    <row r="36" spans="1:5" x14ac:dyDescent="0.3">
      <c r="A36" t="s">
        <v>148</v>
      </c>
      <c r="B36" t="s">
        <v>159</v>
      </c>
      <c r="C36">
        <v>1</v>
      </c>
      <c r="D36">
        <v>0</v>
      </c>
      <c r="E36">
        <v>0</v>
      </c>
    </row>
    <row r="37" spans="1:5" x14ac:dyDescent="0.3">
      <c r="A37" t="s">
        <v>149</v>
      </c>
      <c r="B37" t="s">
        <v>159</v>
      </c>
      <c r="C37">
        <v>0</v>
      </c>
      <c r="D37">
        <v>0</v>
      </c>
      <c r="E37">
        <v>0</v>
      </c>
    </row>
    <row r="38" spans="1:5" x14ac:dyDescent="0.3">
      <c r="A38" t="s">
        <v>150</v>
      </c>
      <c r="B38" t="s">
        <v>159</v>
      </c>
      <c r="C38">
        <v>1</v>
      </c>
      <c r="D38">
        <v>0</v>
      </c>
      <c r="E38">
        <v>0</v>
      </c>
    </row>
    <row r="39" spans="1:5" x14ac:dyDescent="0.3">
      <c r="A39" t="s">
        <v>151</v>
      </c>
      <c r="B39" t="s">
        <v>159</v>
      </c>
      <c r="C39">
        <v>0</v>
      </c>
      <c r="D39">
        <v>0</v>
      </c>
      <c r="E39">
        <v>0</v>
      </c>
    </row>
    <row r="40" spans="1:5" x14ac:dyDescent="0.3">
      <c r="A40" t="s">
        <v>152</v>
      </c>
      <c r="B40" t="s">
        <v>159</v>
      </c>
      <c r="C40">
        <v>1</v>
      </c>
      <c r="D40">
        <v>0</v>
      </c>
      <c r="E40">
        <v>1</v>
      </c>
    </row>
    <row r="41" spans="1:5" x14ac:dyDescent="0.3">
      <c r="A41" t="s">
        <v>153</v>
      </c>
      <c r="B41" t="s">
        <v>159</v>
      </c>
      <c r="C41">
        <v>0</v>
      </c>
      <c r="D41">
        <v>0</v>
      </c>
      <c r="E41">
        <v>0</v>
      </c>
    </row>
    <row r="42" spans="1:5" x14ac:dyDescent="0.3">
      <c r="A42" t="s">
        <v>154</v>
      </c>
      <c r="B42" t="s">
        <v>159</v>
      </c>
      <c r="C42">
        <v>0</v>
      </c>
      <c r="D42">
        <v>0</v>
      </c>
      <c r="E42">
        <v>1</v>
      </c>
    </row>
    <row r="43" spans="1:5" x14ac:dyDescent="0.3">
      <c r="A43" t="s">
        <v>155</v>
      </c>
      <c r="B43" t="s">
        <v>159</v>
      </c>
      <c r="C43">
        <v>1</v>
      </c>
      <c r="D43">
        <v>0</v>
      </c>
      <c r="E43">
        <v>0</v>
      </c>
    </row>
    <row r="44" spans="1:5" x14ac:dyDescent="0.3">
      <c r="A44" t="s">
        <v>156</v>
      </c>
      <c r="B44" t="s">
        <v>159</v>
      </c>
      <c r="C44">
        <v>1</v>
      </c>
      <c r="D44">
        <v>0</v>
      </c>
      <c r="E44">
        <v>0</v>
      </c>
    </row>
    <row r="45" spans="1:5" x14ac:dyDescent="0.3">
      <c r="A45" t="s">
        <v>157</v>
      </c>
      <c r="B45" t="s">
        <v>159</v>
      </c>
      <c r="C45">
        <v>1</v>
      </c>
      <c r="D45">
        <v>0</v>
      </c>
      <c r="E45">
        <v>0</v>
      </c>
    </row>
    <row r="46" spans="1:5" x14ac:dyDescent="0.3">
      <c r="A46" t="s">
        <v>158</v>
      </c>
      <c r="B46" t="s">
        <v>159</v>
      </c>
      <c r="C46">
        <v>1</v>
      </c>
      <c r="D46">
        <v>0</v>
      </c>
      <c r="E46">
        <v>0</v>
      </c>
    </row>
    <row r="47" spans="1:5" x14ac:dyDescent="0.3">
      <c r="A47" t="s">
        <v>181</v>
      </c>
      <c r="B47" t="s">
        <v>204</v>
      </c>
      <c r="C47">
        <v>0</v>
      </c>
      <c r="D47">
        <v>0</v>
      </c>
      <c r="E47">
        <v>0</v>
      </c>
    </row>
    <row r="48" spans="1:5" x14ac:dyDescent="0.3">
      <c r="A48" t="s">
        <v>182</v>
      </c>
      <c r="B48" t="s">
        <v>204</v>
      </c>
      <c r="C48">
        <v>0</v>
      </c>
      <c r="D48">
        <v>0</v>
      </c>
      <c r="E48">
        <v>0</v>
      </c>
    </row>
    <row r="49" spans="1:5" x14ac:dyDescent="0.3">
      <c r="A49" t="s">
        <v>113</v>
      </c>
      <c r="B49" t="s">
        <v>204</v>
      </c>
      <c r="C49">
        <v>0</v>
      </c>
      <c r="D49">
        <v>1</v>
      </c>
      <c r="E49">
        <v>0</v>
      </c>
    </row>
    <row r="50" spans="1:5" x14ac:dyDescent="0.3">
      <c r="A50" t="s">
        <v>183</v>
      </c>
      <c r="B50" t="s">
        <v>204</v>
      </c>
      <c r="C50">
        <v>1</v>
      </c>
      <c r="D50">
        <v>1</v>
      </c>
      <c r="E50">
        <v>0</v>
      </c>
    </row>
    <row r="51" spans="1:5" x14ac:dyDescent="0.3">
      <c r="A51" t="s">
        <v>184</v>
      </c>
      <c r="B51" t="s">
        <v>204</v>
      </c>
      <c r="C51">
        <v>0</v>
      </c>
      <c r="D51">
        <v>0</v>
      </c>
      <c r="E51">
        <v>0</v>
      </c>
    </row>
    <row r="52" spans="1:5" x14ac:dyDescent="0.3">
      <c r="A52" t="s">
        <v>185</v>
      </c>
      <c r="B52" t="s">
        <v>204</v>
      </c>
      <c r="C52">
        <v>1</v>
      </c>
      <c r="D52">
        <v>1</v>
      </c>
      <c r="E52">
        <v>1</v>
      </c>
    </row>
    <row r="53" spans="1:5" x14ac:dyDescent="0.3">
      <c r="A53" t="s">
        <v>186</v>
      </c>
      <c r="B53" t="s">
        <v>204</v>
      </c>
      <c r="C53">
        <v>1</v>
      </c>
      <c r="D53">
        <v>0</v>
      </c>
      <c r="E53">
        <v>0</v>
      </c>
    </row>
    <row r="54" spans="1:5" x14ac:dyDescent="0.3">
      <c r="A54" t="s">
        <v>187</v>
      </c>
      <c r="B54" t="s">
        <v>204</v>
      </c>
      <c r="C54">
        <v>1</v>
      </c>
      <c r="D54">
        <v>1</v>
      </c>
      <c r="E54">
        <v>0</v>
      </c>
    </row>
    <row r="55" spans="1:5" x14ac:dyDescent="0.3">
      <c r="A55" t="s">
        <v>188</v>
      </c>
      <c r="B55" t="s">
        <v>204</v>
      </c>
      <c r="C55">
        <v>1</v>
      </c>
      <c r="D55">
        <v>1</v>
      </c>
      <c r="E55">
        <v>0</v>
      </c>
    </row>
    <row r="56" spans="1:5" x14ac:dyDescent="0.3">
      <c r="A56" t="s">
        <v>189</v>
      </c>
      <c r="B56" t="s">
        <v>204</v>
      </c>
      <c r="C56">
        <v>1</v>
      </c>
      <c r="D56">
        <v>1</v>
      </c>
      <c r="E56">
        <v>0</v>
      </c>
    </row>
    <row r="57" spans="1:5" x14ac:dyDescent="0.3">
      <c r="A57" t="s">
        <v>190</v>
      </c>
      <c r="B57" t="s">
        <v>204</v>
      </c>
      <c r="C57">
        <v>1</v>
      </c>
      <c r="D57">
        <v>0</v>
      </c>
      <c r="E57">
        <v>0</v>
      </c>
    </row>
    <row r="58" spans="1:5" x14ac:dyDescent="0.3">
      <c r="A58" t="s">
        <v>191</v>
      </c>
      <c r="B58" t="s">
        <v>204</v>
      </c>
      <c r="C58">
        <v>0</v>
      </c>
      <c r="D58">
        <v>0</v>
      </c>
      <c r="E58">
        <v>0</v>
      </c>
    </row>
    <row r="59" spans="1:5" x14ac:dyDescent="0.3">
      <c r="A59" t="s">
        <v>192</v>
      </c>
      <c r="B59" t="s">
        <v>204</v>
      </c>
      <c r="C59">
        <v>1</v>
      </c>
      <c r="D59">
        <v>0</v>
      </c>
      <c r="E59">
        <v>0</v>
      </c>
    </row>
    <row r="60" spans="1:5" x14ac:dyDescent="0.3">
      <c r="A60" t="s">
        <v>193</v>
      </c>
      <c r="B60" t="s">
        <v>204</v>
      </c>
      <c r="C60">
        <v>0</v>
      </c>
      <c r="D60">
        <v>0</v>
      </c>
      <c r="E60">
        <v>0</v>
      </c>
    </row>
    <row r="61" spans="1:5" x14ac:dyDescent="0.3">
      <c r="A61" t="s">
        <v>194</v>
      </c>
      <c r="B61" t="s">
        <v>204</v>
      </c>
      <c r="C61">
        <v>1</v>
      </c>
      <c r="D61">
        <v>0</v>
      </c>
      <c r="E61">
        <v>0</v>
      </c>
    </row>
    <row r="62" spans="1:5" x14ac:dyDescent="0.3">
      <c r="A62" t="s">
        <v>195</v>
      </c>
      <c r="B62" t="s">
        <v>204</v>
      </c>
      <c r="C62">
        <v>1</v>
      </c>
      <c r="D62">
        <v>1</v>
      </c>
      <c r="E62">
        <v>0</v>
      </c>
    </row>
    <row r="63" spans="1:5" x14ac:dyDescent="0.3">
      <c r="A63" t="s">
        <v>196</v>
      </c>
      <c r="B63" t="s">
        <v>204</v>
      </c>
      <c r="C63">
        <v>1</v>
      </c>
      <c r="D63">
        <v>1</v>
      </c>
      <c r="E63">
        <v>1</v>
      </c>
    </row>
    <row r="64" spans="1:5" x14ac:dyDescent="0.3">
      <c r="A64" t="s">
        <v>197</v>
      </c>
      <c r="B64" t="s">
        <v>204</v>
      </c>
      <c r="C64">
        <v>1</v>
      </c>
      <c r="D64">
        <v>0</v>
      </c>
      <c r="E64">
        <v>0</v>
      </c>
    </row>
    <row r="65" spans="1:5" x14ac:dyDescent="0.3">
      <c r="A65" t="s">
        <v>198</v>
      </c>
      <c r="B65" t="s">
        <v>204</v>
      </c>
      <c r="C65">
        <v>0</v>
      </c>
      <c r="D65">
        <v>0</v>
      </c>
      <c r="E65">
        <v>0</v>
      </c>
    </row>
    <row r="66" spans="1:5" x14ac:dyDescent="0.3">
      <c r="A66" t="s">
        <v>199</v>
      </c>
      <c r="B66" t="s">
        <v>204</v>
      </c>
      <c r="C66">
        <v>1</v>
      </c>
      <c r="D66">
        <v>0</v>
      </c>
      <c r="E66">
        <v>0</v>
      </c>
    </row>
    <row r="67" spans="1:5" x14ac:dyDescent="0.3">
      <c r="A67" t="s">
        <v>200</v>
      </c>
      <c r="B67" t="s">
        <v>204</v>
      </c>
      <c r="C67">
        <v>0</v>
      </c>
      <c r="D67">
        <v>0</v>
      </c>
      <c r="E67">
        <v>0</v>
      </c>
    </row>
    <row r="68" spans="1:5" x14ac:dyDescent="0.3">
      <c r="A68" t="s">
        <v>201</v>
      </c>
      <c r="B68" t="s">
        <v>204</v>
      </c>
      <c r="C68">
        <v>1</v>
      </c>
      <c r="D68">
        <v>0</v>
      </c>
      <c r="E68">
        <v>0</v>
      </c>
    </row>
    <row r="69" spans="1:5" x14ac:dyDescent="0.3">
      <c r="A69" t="s">
        <v>202</v>
      </c>
      <c r="B69" t="s">
        <v>204</v>
      </c>
      <c r="C69">
        <v>1</v>
      </c>
      <c r="D69">
        <v>0</v>
      </c>
      <c r="E69">
        <v>0</v>
      </c>
    </row>
    <row r="70" spans="1:5" x14ac:dyDescent="0.3">
      <c r="A70" t="s">
        <v>203</v>
      </c>
      <c r="B70" t="s">
        <v>204</v>
      </c>
      <c r="C70">
        <v>0</v>
      </c>
      <c r="D70">
        <v>0</v>
      </c>
      <c r="E70">
        <v>0</v>
      </c>
    </row>
    <row r="71" spans="1:5" x14ac:dyDescent="0.3">
      <c r="A71" t="s">
        <v>161</v>
      </c>
      <c r="B71" t="s">
        <v>160</v>
      </c>
      <c r="C71">
        <v>1</v>
      </c>
      <c r="D71">
        <v>0</v>
      </c>
      <c r="E71">
        <v>0</v>
      </c>
    </row>
    <row r="72" spans="1:5" x14ac:dyDescent="0.3">
      <c r="A72" t="s">
        <v>51</v>
      </c>
      <c r="B72" t="s">
        <v>160</v>
      </c>
      <c r="C72">
        <v>0</v>
      </c>
      <c r="D72">
        <v>0</v>
      </c>
      <c r="E72">
        <v>0</v>
      </c>
    </row>
    <row r="73" spans="1:5" x14ac:dyDescent="0.3">
      <c r="A73" t="s">
        <v>162</v>
      </c>
      <c r="B73" t="s">
        <v>160</v>
      </c>
      <c r="C73">
        <v>0</v>
      </c>
      <c r="D73">
        <v>0</v>
      </c>
      <c r="E73">
        <v>0</v>
      </c>
    </row>
    <row r="74" spans="1:5" x14ac:dyDescent="0.3">
      <c r="A74" t="s">
        <v>163</v>
      </c>
      <c r="B74" t="s">
        <v>160</v>
      </c>
      <c r="C74">
        <v>0</v>
      </c>
      <c r="D74">
        <v>0</v>
      </c>
      <c r="E74">
        <v>0</v>
      </c>
    </row>
    <row r="75" spans="1:5" x14ac:dyDescent="0.3">
      <c r="A75" t="s">
        <v>164</v>
      </c>
      <c r="B75" t="s">
        <v>160</v>
      </c>
      <c r="C75">
        <v>0</v>
      </c>
      <c r="D75">
        <v>0</v>
      </c>
      <c r="E75">
        <v>1</v>
      </c>
    </row>
    <row r="76" spans="1:5" x14ac:dyDescent="0.3">
      <c r="A76" t="s">
        <v>165</v>
      </c>
      <c r="B76" t="s">
        <v>160</v>
      </c>
      <c r="C76">
        <v>1</v>
      </c>
      <c r="D76">
        <v>0</v>
      </c>
      <c r="E76">
        <v>0</v>
      </c>
    </row>
    <row r="77" spans="1:5" x14ac:dyDescent="0.3">
      <c r="A77" t="s">
        <v>166</v>
      </c>
      <c r="B77" t="s">
        <v>160</v>
      </c>
      <c r="C77">
        <v>0</v>
      </c>
      <c r="D77">
        <v>0</v>
      </c>
      <c r="E77">
        <v>0</v>
      </c>
    </row>
    <row r="78" spans="1:5" x14ac:dyDescent="0.3">
      <c r="A78" t="s">
        <v>167</v>
      </c>
      <c r="B78" t="s">
        <v>160</v>
      </c>
      <c r="C78">
        <v>0</v>
      </c>
      <c r="D78">
        <v>0</v>
      </c>
      <c r="E78">
        <v>0</v>
      </c>
    </row>
    <row r="79" spans="1:5" x14ac:dyDescent="0.3">
      <c r="A79" t="s">
        <v>168</v>
      </c>
      <c r="B79" t="s">
        <v>160</v>
      </c>
      <c r="C79">
        <v>0</v>
      </c>
      <c r="D79">
        <v>0</v>
      </c>
      <c r="E79">
        <v>0</v>
      </c>
    </row>
    <row r="80" spans="1:5" x14ac:dyDescent="0.3">
      <c r="A80" t="s">
        <v>169</v>
      </c>
      <c r="B80" t="s">
        <v>160</v>
      </c>
      <c r="C80">
        <v>1</v>
      </c>
      <c r="D80">
        <v>0</v>
      </c>
      <c r="E80">
        <v>0</v>
      </c>
    </row>
    <row r="81" spans="1:5" x14ac:dyDescent="0.3">
      <c r="A81" t="s">
        <v>170</v>
      </c>
      <c r="B81" t="s">
        <v>160</v>
      </c>
      <c r="C81">
        <v>1</v>
      </c>
      <c r="D81">
        <v>0</v>
      </c>
      <c r="E81">
        <v>1</v>
      </c>
    </row>
    <row r="82" spans="1:5" x14ac:dyDescent="0.3">
      <c r="A82" t="s">
        <v>171</v>
      </c>
      <c r="B82" t="s">
        <v>160</v>
      </c>
      <c r="C82">
        <v>1</v>
      </c>
      <c r="D82">
        <v>1</v>
      </c>
      <c r="E82">
        <v>1</v>
      </c>
    </row>
    <row r="83" spans="1:5" x14ac:dyDescent="0.3">
      <c r="A83" t="s">
        <v>172</v>
      </c>
      <c r="B83" t="s">
        <v>160</v>
      </c>
      <c r="C83">
        <v>0</v>
      </c>
      <c r="D83">
        <v>0</v>
      </c>
      <c r="E83">
        <v>0</v>
      </c>
    </row>
    <row r="84" spans="1:5" x14ac:dyDescent="0.3">
      <c r="A84" t="s">
        <v>173</v>
      </c>
      <c r="B84" t="s">
        <v>160</v>
      </c>
      <c r="C84">
        <v>1</v>
      </c>
      <c r="D84">
        <v>0</v>
      </c>
      <c r="E84">
        <v>0</v>
      </c>
    </row>
    <row r="85" spans="1:5" x14ac:dyDescent="0.3">
      <c r="A85" t="s">
        <v>174</v>
      </c>
      <c r="B85" t="s">
        <v>160</v>
      </c>
      <c r="C85">
        <v>0</v>
      </c>
      <c r="D85">
        <v>1</v>
      </c>
      <c r="E85">
        <v>0</v>
      </c>
    </row>
    <row r="86" spans="1:5" x14ac:dyDescent="0.3">
      <c r="A86" t="s">
        <v>175</v>
      </c>
      <c r="B86" t="s">
        <v>160</v>
      </c>
      <c r="C86">
        <v>1</v>
      </c>
      <c r="D86">
        <v>1</v>
      </c>
      <c r="E86">
        <v>0</v>
      </c>
    </row>
    <row r="87" spans="1:5" x14ac:dyDescent="0.3">
      <c r="A87" t="s">
        <v>176</v>
      </c>
      <c r="B87" t="s">
        <v>160</v>
      </c>
      <c r="C87">
        <v>0</v>
      </c>
      <c r="D87">
        <v>0</v>
      </c>
      <c r="E87">
        <v>0</v>
      </c>
    </row>
    <row r="88" spans="1:5" x14ac:dyDescent="0.3">
      <c r="A88" t="s">
        <v>177</v>
      </c>
      <c r="B88" t="s">
        <v>160</v>
      </c>
      <c r="C88">
        <v>0</v>
      </c>
      <c r="D88">
        <v>0</v>
      </c>
      <c r="E88">
        <v>0</v>
      </c>
    </row>
    <row r="89" spans="1:5" x14ac:dyDescent="0.3">
      <c r="A89" t="s">
        <v>178</v>
      </c>
      <c r="B89" t="s">
        <v>160</v>
      </c>
      <c r="C89">
        <v>0</v>
      </c>
      <c r="D89">
        <v>0</v>
      </c>
      <c r="E89">
        <v>0</v>
      </c>
    </row>
    <row r="90" spans="1:5" x14ac:dyDescent="0.3">
      <c r="A90" t="s">
        <v>179</v>
      </c>
      <c r="B90" t="s">
        <v>160</v>
      </c>
      <c r="C90">
        <v>0</v>
      </c>
      <c r="D90">
        <v>0</v>
      </c>
      <c r="E90">
        <v>0</v>
      </c>
    </row>
    <row r="91" spans="1:5" x14ac:dyDescent="0.3">
      <c r="A91" t="s">
        <v>180</v>
      </c>
      <c r="B91" t="s">
        <v>160</v>
      </c>
      <c r="C91">
        <v>0</v>
      </c>
      <c r="D91">
        <v>0</v>
      </c>
      <c r="E9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EB3C-0F67-4E90-A44E-BF5AF6602FFC}">
  <dimension ref="A1:AZ1000"/>
  <sheetViews>
    <sheetView topLeftCell="AD1" workbookViewId="0">
      <selection activeCell="C19" sqref="C19"/>
    </sheetView>
  </sheetViews>
  <sheetFormatPr defaultColWidth="14.44140625" defaultRowHeight="14.4" x14ac:dyDescent="0.3"/>
  <cols>
    <col min="1" max="1" width="15.6640625" customWidth="1"/>
    <col min="2" max="2" width="12" customWidth="1"/>
    <col min="3" max="3" width="11.6640625" customWidth="1"/>
    <col min="4" max="4" width="11.88671875" customWidth="1"/>
    <col min="5" max="7" width="8.6640625" customWidth="1"/>
    <col min="8" max="8" width="14.88671875" customWidth="1"/>
    <col min="9" max="10" width="8.6640625" customWidth="1"/>
    <col min="11" max="11" width="15.5546875" customWidth="1"/>
    <col min="16" max="16" width="12.33203125" customWidth="1"/>
    <col min="17" max="19" width="8.6640625" customWidth="1"/>
    <col min="20" max="20" width="15.44140625" customWidth="1"/>
    <col min="21" max="21" width="8.6640625" customWidth="1"/>
    <col min="22" max="22" width="15.33203125" customWidth="1"/>
    <col min="23" max="23" width="18.6640625" customWidth="1"/>
    <col min="24" max="24" width="8.33203125" customWidth="1"/>
    <col min="25" max="28" width="8.6640625" customWidth="1"/>
    <col min="29" max="29" width="18.6640625" customWidth="1"/>
    <col min="30" max="30" width="16.33203125" customWidth="1"/>
    <col min="31" max="31" width="12.109375" customWidth="1"/>
    <col min="32" max="33" width="8.6640625" customWidth="1"/>
    <col min="34" max="34" width="16.109375" customWidth="1"/>
    <col min="35" max="35" width="13.33203125" customWidth="1"/>
    <col min="36" max="36" width="12.33203125" customWidth="1"/>
    <col min="37" max="37" width="8.88671875" customWidth="1"/>
    <col min="38" max="38" width="20.33203125" customWidth="1"/>
    <col min="39" max="39" width="16.109375" customWidth="1"/>
    <col min="40" max="40" width="13.44140625" customWidth="1"/>
    <col min="41" max="41" width="19.6640625" customWidth="1"/>
    <col min="42" max="42" width="15.33203125" customWidth="1"/>
    <col min="43" max="43" width="22.6640625" customWidth="1"/>
    <col min="44" max="47" width="7.88671875" customWidth="1"/>
    <col min="48" max="48" width="13.33203125" customWidth="1"/>
    <col min="49" max="49" width="12.6640625" customWidth="1"/>
    <col min="50" max="50" width="20.88671875" customWidth="1"/>
    <col min="51" max="51" width="24.109375" customWidth="1"/>
  </cols>
  <sheetData>
    <row r="1" spans="1:52" ht="60.7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9" t="s">
        <v>25</v>
      </c>
      <c r="AA1" s="9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1" t="s">
        <v>37</v>
      </c>
      <c r="AM1" s="11" t="s">
        <v>38</v>
      </c>
      <c r="AN1" s="10" t="s">
        <v>39</v>
      </c>
      <c r="AO1" s="12" t="s">
        <v>40</v>
      </c>
      <c r="AP1" s="12" t="s">
        <v>41</v>
      </c>
      <c r="AQ1" s="12" t="s">
        <v>42</v>
      </c>
      <c r="AR1" s="13" t="s">
        <v>43</v>
      </c>
      <c r="AS1" s="14" t="s">
        <v>44</v>
      </c>
      <c r="AT1" s="14" t="s">
        <v>45</v>
      </c>
      <c r="AU1" s="14" t="s">
        <v>46</v>
      </c>
      <c r="AV1" s="50" t="s">
        <v>47</v>
      </c>
      <c r="AW1" s="15" t="s">
        <v>48</v>
      </c>
      <c r="AX1" s="12" t="s">
        <v>49</v>
      </c>
      <c r="AY1" s="51" t="s">
        <v>50</v>
      </c>
      <c r="AZ1" s="13" t="s">
        <v>48</v>
      </c>
    </row>
    <row r="2" spans="1:52" ht="14.25" customHeight="1" x14ac:dyDescent="0.3">
      <c r="A2" s="16" t="s">
        <v>51</v>
      </c>
      <c r="B2" s="17">
        <v>19000</v>
      </c>
      <c r="C2" s="16">
        <v>40.9</v>
      </c>
      <c r="D2" s="18">
        <v>2372</v>
      </c>
      <c r="E2" s="18">
        <v>3355</v>
      </c>
      <c r="F2" s="18">
        <v>1774</v>
      </c>
      <c r="G2" s="18">
        <v>137</v>
      </c>
      <c r="H2" s="19">
        <v>694359100</v>
      </c>
      <c r="I2" s="18">
        <v>84891</v>
      </c>
      <c r="J2" s="18">
        <v>38222</v>
      </c>
      <c r="K2" s="16">
        <v>7733</v>
      </c>
      <c r="L2" s="16">
        <v>2.48</v>
      </c>
      <c r="M2" s="13">
        <v>994</v>
      </c>
      <c r="N2" s="13">
        <v>296</v>
      </c>
      <c r="O2" s="13">
        <v>10796</v>
      </c>
      <c r="P2" s="20">
        <v>9</v>
      </c>
      <c r="Q2" s="21">
        <v>10</v>
      </c>
      <c r="R2" s="22">
        <v>10</v>
      </c>
      <c r="S2" s="23">
        <v>29</v>
      </c>
      <c r="T2" s="24">
        <v>0.73599999999999999</v>
      </c>
      <c r="U2" s="24">
        <v>-0.86499999999999999</v>
      </c>
      <c r="V2" s="24">
        <v>0.11700000000000001</v>
      </c>
      <c r="W2" s="25">
        <v>735</v>
      </c>
      <c r="X2" s="24">
        <v>1.0200000000000001E-2</v>
      </c>
      <c r="Y2" s="24">
        <v>0.45600000000000002</v>
      </c>
      <c r="Z2" s="24">
        <v>8.6400000000000005E-2</v>
      </c>
      <c r="AA2" s="24">
        <v>0.1482</v>
      </c>
      <c r="AB2" s="24">
        <v>0.77300000000000002</v>
      </c>
      <c r="AC2" s="25">
        <v>4140</v>
      </c>
      <c r="AD2" s="24">
        <v>1.605</v>
      </c>
      <c r="AE2" s="24">
        <v>0.107</v>
      </c>
      <c r="AF2" s="24">
        <v>0.53900000000000003</v>
      </c>
      <c r="AG2" s="24">
        <v>1.855</v>
      </c>
      <c r="AH2" s="16">
        <v>17284161</v>
      </c>
      <c r="AI2" s="16">
        <v>10599019</v>
      </c>
      <c r="AJ2" s="16">
        <v>11235000</v>
      </c>
      <c r="AK2" s="16">
        <v>0</v>
      </c>
      <c r="AL2" s="16">
        <v>3770000</v>
      </c>
      <c r="AM2" s="16">
        <v>0</v>
      </c>
      <c r="AN2" s="16">
        <v>55014181</v>
      </c>
      <c r="AO2" s="13" t="s">
        <v>52</v>
      </c>
      <c r="AP2" s="16">
        <v>2024</v>
      </c>
      <c r="AQ2" s="16">
        <v>1</v>
      </c>
      <c r="AR2" s="16">
        <v>1</v>
      </c>
      <c r="AS2" s="16">
        <v>1</v>
      </c>
      <c r="AT2" s="16">
        <v>0</v>
      </c>
      <c r="AU2" s="16">
        <v>1</v>
      </c>
      <c r="AV2" s="16">
        <v>0</v>
      </c>
      <c r="AW2" s="16"/>
      <c r="AX2" s="13">
        <f>SUM(AR2:AV2)</f>
        <v>3</v>
      </c>
      <c r="AY2" s="13" t="s">
        <v>53</v>
      </c>
      <c r="AZ2" s="13" t="s">
        <v>54</v>
      </c>
    </row>
    <row r="3" spans="1:52" ht="14.25" customHeight="1" x14ac:dyDescent="0.3">
      <c r="A3" s="16" t="s">
        <v>55</v>
      </c>
      <c r="B3" s="26">
        <v>43072</v>
      </c>
      <c r="C3" s="16">
        <v>41.6</v>
      </c>
      <c r="D3" s="18">
        <v>2961</v>
      </c>
      <c r="E3" s="18">
        <v>10925</v>
      </c>
      <c r="F3" s="18">
        <v>6455</v>
      </c>
      <c r="G3" s="18">
        <v>781</v>
      </c>
      <c r="H3" s="19">
        <v>2167760600</v>
      </c>
      <c r="I3" s="18">
        <v>117921</v>
      </c>
      <c r="J3" s="18">
        <v>53787</v>
      </c>
      <c r="K3" s="16">
        <v>15764</v>
      </c>
      <c r="L3" s="16">
        <v>2.71</v>
      </c>
      <c r="M3" s="13">
        <v>2645</v>
      </c>
      <c r="N3" s="13">
        <v>790</v>
      </c>
      <c r="O3" s="13">
        <v>23654</v>
      </c>
      <c r="P3" s="20">
        <v>3</v>
      </c>
      <c r="Q3" s="21">
        <v>7</v>
      </c>
      <c r="R3" s="22">
        <v>4</v>
      </c>
      <c r="S3" s="23">
        <v>14</v>
      </c>
      <c r="T3" s="24">
        <v>4.29</v>
      </c>
      <c r="U3" s="24">
        <v>0.03</v>
      </c>
      <c r="V3" s="24">
        <v>0.45</v>
      </c>
      <c r="W3" s="25">
        <v>1624</v>
      </c>
      <c r="X3" s="24">
        <v>3.7999999999999999E-2</v>
      </c>
      <c r="Y3" s="24">
        <v>0.73</v>
      </c>
      <c r="Z3" s="24">
        <v>2.4E-2</v>
      </c>
      <c r="AA3" s="24">
        <v>2E-3</v>
      </c>
      <c r="AB3" s="24">
        <v>0.61</v>
      </c>
      <c r="AC3" s="25">
        <v>4391</v>
      </c>
      <c r="AD3" s="24">
        <v>0.93</v>
      </c>
      <c r="AE3" s="24">
        <v>6.5000000000000002E-2</v>
      </c>
      <c r="AF3" s="24">
        <v>0.56999999999999995</v>
      </c>
      <c r="AG3" s="24">
        <v>1.76</v>
      </c>
      <c r="AH3" s="16">
        <v>32750493</v>
      </c>
      <c r="AI3" s="16">
        <v>24365045</v>
      </c>
      <c r="AJ3" s="16">
        <v>42766180</v>
      </c>
      <c r="AK3" s="16">
        <v>19000000</v>
      </c>
      <c r="AL3" s="16">
        <v>0</v>
      </c>
      <c r="AM3" s="16">
        <v>8193790</v>
      </c>
      <c r="AN3" s="16">
        <v>144086940</v>
      </c>
      <c r="AO3" s="13" t="s">
        <v>52</v>
      </c>
      <c r="AP3" s="16">
        <v>2023</v>
      </c>
      <c r="AQ3" s="16">
        <v>1</v>
      </c>
      <c r="AR3" s="16">
        <v>1</v>
      </c>
      <c r="AS3" s="16">
        <v>0</v>
      </c>
      <c r="AT3" s="16">
        <v>0</v>
      </c>
      <c r="AU3" s="16">
        <v>0</v>
      </c>
      <c r="AV3" s="16">
        <v>0</v>
      </c>
      <c r="AW3" s="16"/>
      <c r="AX3" s="13">
        <f t="shared" ref="AX3:AX28" si="0">SUM(AR3:AV3)</f>
        <v>1</v>
      </c>
      <c r="AY3" s="13" t="s">
        <v>56</v>
      </c>
      <c r="AZ3" s="27" t="s">
        <v>57</v>
      </c>
    </row>
    <row r="4" spans="1:52" ht="14.25" customHeight="1" thickBot="1" x14ac:dyDescent="0.35">
      <c r="A4" s="16" t="s">
        <v>58</v>
      </c>
      <c r="B4" s="26">
        <v>17826</v>
      </c>
      <c r="C4" s="16">
        <v>39</v>
      </c>
      <c r="D4" s="18">
        <v>2028</v>
      </c>
      <c r="E4" s="18">
        <v>3970</v>
      </c>
      <c r="F4" s="18">
        <v>1715</v>
      </c>
      <c r="G4" s="18">
        <v>34</v>
      </c>
      <c r="H4" s="19">
        <v>796844300</v>
      </c>
      <c r="I4" s="18">
        <v>105344</v>
      </c>
      <c r="J4" s="18">
        <v>44717</v>
      </c>
      <c r="K4" s="16">
        <v>6384</v>
      </c>
      <c r="L4" s="16">
        <v>2.79</v>
      </c>
      <c r="M4" s="13">
        <v>796</v>
      </c>
      <c r="N4" s="13">
        <v>530</v>
      </c>
      <c r="O4" s="13">
        <v>10623</v>
      </c>
      <c r="P4" s="20">
        <v>5</v>
      </c>
      <c r="Q4" s="21">
        <v>13</v>
      </c>
      <c r="R4" s="22">
        <v>11</v>
      </c>
      <c r="S4" s="23">
        <v>29</v>
      </c>
      <c r="T4" s="24">
        <v>7.23</v>
      </c>
      <c r="U4" s="24">
        <v>8.0000000000000004E-4</v>
      </c>
      <c r="V4" s="24">
        <v>0.35499999999999998</v>
      </c>
      <c r="W4" s="28">
        <v>685.64</v>
      </c>
      <c r="X4" s="24">
        <v>2.8000000000000001E-2</v>
      </c>
      <c r="Y4" s="24">
        <v>0.30499999999999999</v>
      </c>
      <c r="Z4" s="24">
        <v>2.1999999999999999E-2</v>
      </c>
      <c r="AA4" s="24">
        <v>5.0000000000000001E-3</v>
      </c>
      <c r="AB4" s="24">
        <v>0.58399999999999996</v>
      </c>
      <c r="AC4" s="25">
        <v>1628</v>
      </c>
      <c r="AD4" s="24">
        <v>1.4</v>
      </c>
      <c r="AE4" s="24">
        <v>2.9000000000000001E-2</v>
      </c>
      <c r="AF4" s="24">
        <v>0.39500000000000002</v>
      </c>
      <c r="AG4" s="24">
        <v>2.5299999999999998</v>
      </c>
      <c r="AH4" s="16">
        <v>5697772</v>
      </c>
      <c r="AI4" s="16">
        <v>6269864</v>
      </c>
      <c r="AJ4" s="16">
        <v>0</v>
      </c>
      <c r="AK4" s="16">
        <v>1929076</v>
      </c>
      <c r="AL4" s="16">
        <v>10295000</v>
      </c>
      <c r="AM4" s="16">
        <v>0</v>
      </c>
      <c r="AN4" s="16">
        <v>12224076</v>
      </c>
      <c r="AO4" s="13" t="s">
        <v>59</v>
      </c>
      <c r="AP4" s="16">
        <v>2025</v>
      </c>
      <c r="AQ4" s="16">
        <v>1</v>
      </c>
      <c r="AR4" s="16">
        <v>1</v>
      </c>
      <c r="AS4" s="16">
        <v>0</v>
      </c>
      <c r="AT4" s="16">
        <v>0</v>
      </c>
      <c r="AU4" s="16">
        <v>0</v>
      </c>
      <c r="AV4" s="16">
        <v>0</v>
      </c>
      <c r="AW4" s="16"/>
      <c r="AX4" s="13">
        <f t="shared" si="0"/>
        <v>1</v>
      </c>
      <c r="AY4" s="13" t="s">
        <v>53</v>
      </c>
      <c r="AZ4" s="29" t="s">
        <v>60</v>
      </c>
    </row>
    <row r="5" spans="1:52" ht="14.25" customHeight="1" thickBot="1" x14ac:dyDescent="0.35">
      <c r="A5" s="16" t="s">
        <v>61</v>
      </c>
      <c r="B5" s="26">
        <v>6420</v>
      </c>
      <c r="C5" s="16">
        <v>47.9</v>
      </c>
      <c r="D5" s="13">
        <v>1023</v>
      </c>
      <c r="E5" s="13">
        <v>998</v>
      </c>
      <c r="F5" s="13">
        <v>493</v>
      </c>
      <c r="G5" s="13">
        <v>89</v>
      </c>
      <c r="H5" s="13">
        <v>326459200</v>
      </c>
      <c r="I5" s="13">
        <v>78603</v>
      </c>
      <c r="J5" s="13">
        <v>51722</v>
      </c>
      <c r="K5" s="16">
        <v>2803</v>
      </c>
      <c r="L5" s="16">
        <v>2.25</v>
      </c>
      <c r="M5" s="13">
        <v>480</v>
      </c>
      <c r="N5" s="13">
        <v>300</v>
      </c>
      <c r="O5" s="13">
        <v>3831</v>
      </c>
      <c r="P5" s="20">
        <v>0</v>
      </c>
      <c r="Q5" s="21">
        <v>0</v>
      </c>
      <c r="R5" s="22">
        <v>0</v>
      </c>
      <c r="S5" s="23">
        <v>0</v>
      </c>
      <c r="T5" s="24">
        <v>4.25</v>
      </c>
      <c r="U5" s="24">
        <v>0.26</v>
      </c>
      <c r="V5" s="24">
        <v>0.40899999999999997</v>
      </c>
      <c r="W5" s="25">
        <v>6597</v>
      </c>
      <c r="X5" s="24">
        <v>9.6000000000000002E-2</v>
      </c>
      <c r="Y5" s="24">
        <v>2.4E-2</v>
      </c>
      <c r="Z5" s="24">
        <v>3.3000000000000002E-2</v>
      </c>
      <c r="AA5" s="24">
        <v>4.0000000000000001E-3</v>
      </c>
      <c r="AB5" s="24">
        <v>0.67400000000000004</v>
      </c>
      <c r="AC5" s="25">
        <v>4587</v>
      </c>
      <c r="AD5" s="24">
        <v>0.58599999999999997</v>
      </c>
      <c r="AE5" s="24">
        <v>3.4000000000000002E-2</v>
      </c>
      <c r="AF5" s="24">
        <v>0.47399999999999998</v>
      </c>
      <c r="AG5" s="24">
        <v>2</v>
      </c>
      <c r="AH5" s="26">
        <v>6832227</v>
      </c>
      <c r="AI5" s="26">
        <v>11910692</v>
      </c>
      <c r="AJ5" s="30">
        <v>46695000</v>
      </c>
      <c r="AK5" s="16">
        <v>0</v>
      </c>
      <c r="AL5" s="16">
        <v>0</v>
      </c>
      <c r="AM5" s="16">
        <v>0</v>
      </c>
      <c r="AN5" s="30">
        <v>46695000</v>
      </c>
      <c r="AO5" s="13" t="s">
        <v>52</v>
      </c>
      <c r="AP5" s="16">
        <v>2021</v>
      </c>
      <c r="AQ5" s="16">
        <v>1</v>
      </c>
      <c r="AR5" s="16">
        <v>1</v>
      </c>
      <c r="AS5" s="16">
        <v>0</v>
      </c>
      <c r="AT5" s="16">
        <v>0</v>
      </c>
      <c r="AU5" s="16">
        <v>1</v>
      </c>
      <c r="AV5" s="16">
        <v>0</v>
      </c>
      <c r="AW5" s="16"/>
      <c r="AX5" s="13">
        <f t="shared" si="0"/>
        <v>2</v>
      </c>
      <c r="AY5" s="13" t="s">
        <v>53</v>
      </c>
      <c r="AZ5" s="29" t="s">
        <v>62</v>
      </c>
    </row>
    <row r="6" spans="1:52" s="38" customFormat="1" ht="14.25" customHeight="1" x14ac:dyDescent="0.3">
      <c r="A6" s="31" t="s">
        <v>63</v>
      </c>
      <c r="B6" s="31">
        <v>3694</v>
      </c>
      <c r="C6" s="31">
        <v>44.4</v>
      </c>
      <c r="D6" s="32">
        <v>238</v>
      </c>
      <c r="E6" s="32">
        <v>949</v>
      </c>
      <c r="F6" s="32">
        <v>606</v>
      </c>
      <c r="G6" s="32">
        <v>42</v>
      </c>
      <c r="H6" s="33">
        <v>295359500</v>
      </c>
      <c r="I6" s="32">
        <v>161422</v>
      </c>
      <c r="J6" s="32">
        <v>73578</v>
      </c>
      <c r="K6" s="31">
        <v>1280</v>
      </c>
      <c r="L6" s="31">
        <v>2.84</v>
      </c>
      <c r="M6" s="34">
        <v>9809</v>
      </c>
      <c r="N6" s="34">
        <v>2435</v>
      </c>
      <c r="O6" s="34">
        <v>22813</v>
      </c>
      <c r="P6" s="20">
        <v>3</v>
      </c>
      <c r="Q6" s="21">
        <v>10</v>
      </c>
      <c r="R6" s="22">
        <v>6</v>
      </c>
      <c r="S6" s="23">
        <v>19</v>
      </c>
      <c r="T6" s="35">
        <v>8.06</v>
      </c>
      <c r="U6" s="35">
        <v>1.68</v>
      </c>
      <c r="V6" s="35">
        <v>3.6999999999999999E-4</v>
      </c>
      <c r="W6" s="36">
        <v>3.07</v>
      </c>
      <c r="X6" s="35">
        <v>0</v>
      </c>
      <c r="Y6" s="35">
        <v>0</v>
      </c>
      <c r="Z6" s="35">
        <v>0</v>
      </c>
      <c r="AA6" s="35">
        <v>0</v>
      </c>
      <c r="AB6" s="35">
        <v>0.57499999999999996</v>
      </c>
      <c r="AC6" s="37">
        <v>3005</v>
      </c>
      <c r="AD6" s="35">
        <v>0.56000000000000005</v>
      </c>
      <c r="AE6" s="35">
        <v>9.7000000000000003E-2</v>
      </c>
      <c r="AF6" s="35">
        <v>6.0999999999999999E-2</v>
      </c>
      <c r="AG6" s="35">
        <v>17.27</v>
      </c>
      <c r="AH6" s="31">
        <v>2823382</v>
      </c>
      <c r="AI6" s="31">
        <v>3101991</v>
      </c>
      <c r="AJ6" s="31">
        <v>53700000</v>
      </c>
      <c r="AK6" s="31">
        <v>0</v>
      </c>
      <c r="AL6" s="31">
        <v>0</v>
      </c>
      <c r="AM6" s="31">
        <v>0</v>
      </c>
      <c r="AN6" s="31">
        <v>53700000</v>
      </c>
      <c r="AO6" s="34" t="s">
        <v>52</v>
      </c>
      <c r="AP6" s="31">
        <v>2020</v>
      </c>
      <c r="AQ6" s="31">
        <v>1</v>
      </c>
      <c r="AR6" s="16">
        <v>1</v>
      </c>
      <c r="AS6" s="16">
        <v>0</v>
      </c>
      <c r="AT6" s="16">
        <v>0</v>
      </c>
      <c r="AU6" s="31">
        <v>1</v>
      </c>
      <c r="AV6" s="31">
        <v>0</v>
      </c>
      <c r="AW6" s="31"/>
      <c r="AX6" s="13">
        <f t="shared" si="0"/>
        <v>2</v>
      </c>
      <c r="AY6" s="34" t="s">
        <v>64</v>
      </c>
    </row>
    <row r="7" spans="1:52" ht="14.25" customHeight="1" x14ac:dyDescent="0.3">
      <c r="A7" s="16" t="s">
        <v>65</v>
      </c>
      <c r="B7" s="26">
        <v>19196</v>
      </c>
      <c r="C7" s="16">
        <v>44.6</v>
      </c>
      <c r="D7" s="18">
        <v>664</v>
      </c>
      <c r="E7" s="18">
        <v>5251</v>
      </c>
      <c r="F7" s="18">
        <v>3549</v>
      </c>
      <c r="G7" s="18">
        <v>558</v>
      </c>
      <c r="H7" s="19">
        <v>1556555100</v>
      </c>
      <c r="I7" s="18">
        <v>162064</v>
      </c>
      <c r="J7" s="18">
        <v>82426</v>
      </c>
      <c r="K7" s="16">
        <v>7358</v>
      </c>
      <c r="L7" s="16">
        <v>2.6</v>
      </c>
      <c r="M7" s="13">
        <v>54</v>
      </c>
      <c r="N7" s="13">
        <v>39</v>
      </c>
      <c r="O7" s="13">
        <v>1684</v>
      </c>
      <c r="P7" s="20">
        <v>4</v>
      </c>
      <c r="Q7" s="21">
        <v>11</v>
      </c>
      <c r="R7" s="22">
        <v>10</v>
      </c>
      <c r="S7" s="23">
        <v>25</v>
      </c>
      <c r="T7">
        <v>3.1230000000000002</v>
      </c>
      <c r="U7">
        <v>0.64</v>
      </c>
      <c r="V7">
        <v>0.20599999999999999</v>
      </c>
      <c r="W7" s="39">
        <v>2518</v>
      </c>
      <c r="X7">
        <v>3.4200000000000001E-2</v>
      </c>
      <c r="Y7">
        <v>0.1386</v>
      </c>
      <c r="Z7">
        <v>5.4800000000000001E-2</v>
      </c>
      <c r="AA7">
        <v>0.1066</v>
      </c>
      <c r="AB7">
        <v>0.60599999999999998</v>
      </c>
      <c r="AC7" s="39">
        <v>6081</v>
      </c>
      <c r="AD7">
        <v>0.67800000000000005</v>
      </c>
      <c r="AE7">
        <v>9.4100000000000003E-2</v>
      </c>
      <c r="AF7">
        <v>0.39789999999999998</v>
      </c>
      <c r="AG7" s="27">
        <v>2.5129999999999999</v>
      </c>
      <c r="AH7" s="16">
        <v>17631140</v>
      </c>
      <c r="AI7" s="16">
        <v>13610991</v>
      </c>
      <c r="AJ7" s="16">
        <v>0</v>
      </c>
      <c r="AK7" s="16">
        <v>0</v>
      </c>
      <c r="AL7" s="16">
        <v>0</v>
      </c>
      <c r="AM7" s="16">
        <v>0</v>
      </c>
      <c r="AN7" s="16">
        <v>35937</v>
      </c>
      <c r="AO7" s="13" t="s">
        <v>52</v>
      </c>
      <c r="AP7" s="16">
        <v>2022</v>
      </c>
      <c r="AQ7" s="16">
        <v>1</v>
      </c>
      <c r="AR7" s="16">
        <v>1</v>
      </c>
      <c r="AS7" s="16">
        <v>0</v>
      </c>
      <c r="AT7" s="16">
        <v>0</v>
      </c>
      <c r="AU7" s="16">
        <v>0</v>
      </c>
      <c r="AV7" s="16">
        <v>0</v>
      </c>
      <c r="AW7" s="16"/>
      <c r="AX7" s="13">
        <f t="shared" si="0"/>
        <v>1</v>
      </c>
      <c r="AY7" s="13" t="s">
        <v>56</v>
      </c>
      <c r="AZ7" s="40" t="s">
        <v>66</v>
      </c>
    </row>
    <row r="8" spans="1:52" ht="14.25" customHeight="1" x14ac:dyDescent="0.3">
      <c r="A8" s="16" t="s">
        <v>67</v>
      </c>
      <c r="B8" s="26">
        <v>40290</v>
      </c>
      <c r="C8" s="16">
        <v>24.9</v>
      </c>
      <c r="D8" s="18">
        <v>3978</v>
      </c>
      <c r="E8" s="18">
        <v>4918</v>
      </c>
      <c r="F8" s="18">
        <v>2363</v>
      </c>
      <c r="G8" s="18">
        <v>544</v>
      </c>
      <c r="H8" s="19">
        <v>1009435800</v>
      </c>
      <c r="I8" s="18">
        <v>44223</v>
      </c>
      <c r="J8" s="18">
        <v>24819</v>
      </c>
      <c r="K8" s="16">
        <v>16043</v>
      </c>
      <c r="L8" s="16">
        <v>2.2999999999999998</v>
      </c>
      <c r="M8" s="13">
        <v>507</v>
      </c>
      <c r="N8" s="13">
        <v>246</v>
      </c>
      <c r="O8" s="13">
        <v>10437</v>
      </c>
      <c r="P8" s="20">
        <v>1</v>
      </c>
      <c r="Q8" s="21">
        <v>4</v>
      </c>
      <c r="R8" s="22">
        <v>6</v>
      </c>
      <c r="S8" s="23">
        <v>11</v>
      </c>
      <c r="T8" s="24">
        <v>3.46</v>
      </c>
      <c r="U8" s="24">
        <v>-2.23</v>
      </c>
      <c r="V8" s="24">
        <v>0.59</v>
      </c>
      <c r="W8" s="25">
        <v>3759</v>
      </c>
      <c r="X8" s="24">
        <v>4.3999999999999997E-2</v>
      </c>
      <c r="Y8" s="24">
        <v>0.64</v>
      </c>
      <c r="Z8" s="24">
        <v>4.2000000000000003E-2</v>
      </c>
      <c r="AA8" s="24">
        <v>8.0000000000000002E-3</v>
      </c>
      <c r="AB8" s="24">
        <v>0.65</v>
      </c>
      <c r="AC8" s="25">
        <v>2806</v>
      </c>
      <c r="AD8" s="24">
        <v>0.59</v>
      </c>
      <c r="AE8" s="24">
        <v>8.6999999999999994E-2</v>
      </c>
      <c r="AF8" s="24">
        <v>0.61</v>
      </c>
      <c r="AG8" s="24">
        <v>1.57</v>
      </c>
      <c r="AH8" s="16">
        <v>29511253</v>
      </c>
      <c r="AI8" s="16">
        <v>28372134</v>
      </c>
      <c r="AJ8" s="16">
        <v>0</v>
      </c>
      <c r="AK8" s="16">
        <v>0</v>
      </c>
      <c r="AL8" s="16">
        <v>49120000</v>
      </c>
      <c r="AM8" s="16">
        <v>0</v>
      </c>
      <c r="AN8" s="16">
        <v>71926272</v>
      </c>
      <c r="AO8" s="13" t="s">
        <v>52</v>
      </c>
      <c r="AP8" s="16">
        <v>2024</v>
      </c>
      <c r="AQ8" s="16">
        <v>0</v>
      </c>
      <c r="AR8" s="16">
        <v>1</v>
      </c>
      <c r="AS8" s="16">
        <v>0</v>
      </c>
      <c r="AT8" s="16">
        <v>0</v>
      </c>
      <c r="AU8" s="16">
        <v>1</v>
      </c>
      <c r="AV8" s="16">
        <v>0</v>
      </c>
      <c r="AW8" s="13"/>
      <c r="AX8" s="13">
        <f t="shared" si="0"/>
        <v>2</v>
      </c>
      <c r="AY8" s="13" t="s">
        <v>53</v>
      </c>
      <c r="AZ8" t="s">
        <v>68</v>
      </c>
    </row>
    <row r="9" spans="1:52" ht="14.25" customHeight="1" x14ac:dyDescent="0.3">
      <c r="A9" s="16" t="s">
        <v>69</v>
      </c>
      <c r="B9" s="26">
        <v>50247</v>
      </c>
      <c r="C9" s="16">
        <v>42.6</v>
      </c>
      <c r="D9" s="18">
        <v>4605</v>
      </c>
      <c r="E9" s="18">
        <v>12363</v>
      </c>
      <c r="F9" s="18">
        <v>5828</v>
      </c>
      <c r="G9" s="18">
        <v>893</v>
      </c>
      <c r="H9" s="19">
        <v>2599576200</v>
      </c>
      <c r="I9" s="18">
        <v>97197</v>
      </c>
      <c r="J9" s="18">
        <v>53339</v>
      </c>
      <c r="K9" s="16">
        <v>20196</v>
      </c>
      <c r="L9" s="16">
        <v>2.4500000000000002</v>
      </c>
      <c r="M9" s="13">
        <v>2548</v>
      </c>
      <c r="N9" s="13">
        <v>1115</v>
      </c>
      <c r="O9" s="13">
        <v>27004</v>
      </c>
      <c r="P9" s="20">
        <v>5</v>
      </c>
      <c r="Q9" s="21">
        <v>8</v>
      </c>
      <c r="R9" s="22">
        <v>8</v>
      </c>
      <c r="S9" s="23">
        <v>21</v>
      </c>
      <c r="T9" s="24">
        <v>5.88</v>
      </c>
      <c r="U9" s="24">
        <v>-0.64</v>
      </c>
      <c r="V9" s="24">
        <v>0.81</v>
      </c>
      <c r="W9" s="25">
        <v>4228</v>
      </c>
      <c r="X9" s="24">
        <v>1.9E-2</v>
      </c>
      <c r="Y9" s="24">
        <v>0.91</v>
      </c>
      <c r="Z9" s="24">
        <v>3.5000000000000003E-2</v>
      </c>
      <c r="AA9" s="24">
        <v>6.0000000000000001E-3</v>
      </c>
      <c r="AB9" s="24">
        <v>0.64</v>
      </c>
      <c r="AC9" s="25">
        <v>2991</v>
      </c>
      <c r="AD9" s="24">
        <v>0.64</v>
      </c>
      <c r="AE9" s="24">
        <v>7.2999999999999995E-2</v>
      </c>
      <c r="AF9" s="24">
        <v>0.56999999999999995</v>
      </c>
      <c r="AG9" s="24">
        <v>1.65</v>
      </c>
      <c r="AH9" s="16">
        <v>43549785</v>
      </c>
      <c r="AI9" s="16">
        <v>29589609</v>
      </c>
      <c r="AJ9" s="16">
        <v>80945000</v>
      </c>
      <c r="AK9" s="16">
        <v>0</v>
      </c>
      <c r="AL9" s="16">
        <v>0</v>
      </c>
      <c r="AM9" s="16">
        <v>0</v>
      </c>
      <c r="AN9" s="16">
        <v>88822293</v>
      </c>
      <c r="AO9" s="13" t="s">
        <v>52</v>
      </c>
      <c r="AP9" s="16">
        <v>2025</v>
      </c>
      <c r="AQ9" s="16">
        <v>1</v>
      </c>
      <c r="AR9" s="16">
        <v>1</v>
      </c>
      <c r="AS9" s="16">
        <v>0</v>
      </c>
      <c r="AT9" s="16">
        <v>0</v>
      </c>
      <c r="AU9" s="16">
        <v>1</v>
      </c>
      <c r="AV9" s="16">
        <v>0</v>
      </c>
      <c r="AW9" s="16"/>
      <c r="AX9" s="13">
        <f t="shared" si="0"/>
        <v>2</v>
      </c>
      <c r="AY9" s="13" t="s">
        <v>56</v>
      </c>
      <c r="AZ9" t="s">
        <v>70</v>
      </c>
    </row>
    <row r="10" spans="1:52" ht="14.25" customHeight="1" x14ac:dyDescent="0.3">
      <c r="A10" s="16" t="s">
        <v>71</v>
      </c>
      <c r="B10" s="26">
        <v>8723</v>
      </c>
      <c r="C10" s="16">
        <v>44.9</v>
      </c>
      <c r="D10" s="18">
        <v>258</v>
      </c>
      <c r="E10" s="18">
        <v>2120</v>
      </c>
      <c r="F10" s="18">
        <v>1782</v>
      </c>
      <c r="G10" s="18">
        <v>165</v>
      </c>
      <c r="H10" s="19">
        <v>1079311300</v>
      </c>
      <c r="I10" s="18">
        <v>195600</v>
      </c>
      <c r="J10" s="18">
        <v>121589</v>
      </c>
      <c r="K10" s="16">
        <v>3072</v>
      </c>
      <c r="L10" s="16">
        <v>2.86</v>
      </c>
      <c r="M10" s="13">
        <v>164</v>
      </c>
      <c r="N10" s="13">
        <v>135</v>
      </c>
      <c r="O10" s="13">
        <v>3455</v>
      </c>
      <c r="P10" s="20">
        <v>6</v>
      </c>
      <c r="Q10" s="21">
        <v>12</v>
      </c>
      <c r="R10" s="22">
        <v>10</v>
      </c>
      <c r="S10" s="23">
        <v>28</v>
      </c>
      <c r="T10" s="24">
        <v>4.8600000000000003</v>
      </c>
      <c r="U10" s="24">
        <v>-7.0000000000000007E-2</v>
      </c>
      <c r="V10" s="24">
        <v>0.47</v>
      </c>
      <c r="W10" s="25">
        <v>7380</v>
      </c>
      <c r="X10" s="24">
        <v>1.7999999999999999E-2</v>
      </c>
      <c r="Y10" s="24">
        <v>0.76</v>
      </c>
      <c r="Z10" s="24">
        <v>4.1000000000000002E-2</v>
      </c>
      <c r="AA10" s="24">
        <v>8.0000000000000002E-3</v>
      </c>
      <c r="AB10" s="24">
        <v>0.65</v>
      </c>
      <c r="AC10" s="25">
        <v>3625</v>
      </c>
      <c r="AD10" s="24">
        <v>0.48</v>
      </c>
      <c r="AE10" s="24">
        <v>0.04</v>
      </c>
      <c r="AF10" s="24">
        <v>0.47</v>
      </c>
      <c r="AG10" s="24">
        <v>2.13</v>
      </c>
      <c r="AH10" s="16">
        <v>17841593</v>
      </c>
      <c r="AI10" s="16">
        <v>6181328</v>
      </c>
      <c r="AJ10" s="16">
        <v>20710000</v>
      </c>
      <c r="AK10" s="16">
        <v>0</v>
      </c>
      <c r="AL10" s="16">
        <v>6735000</v>
      </c>
      <c r="AM10" s="16">
        <v>1482369</v>
      </c>
      <c r="AN10" s="16">
        <v>28927369</v>
      </c>
      <c r="AO10" s="13" t="s">
        <v>52</v>
      </c>
      <c r="AP10" s="16">
        <v>2023</v>
      </c>
      <c r="AQ10" s="16">
        <v>1</v>
      </c>
      <c r="AR10" s="16">
        <v>1</v>
      </c>
      <c r="AS10" s="16">
        <v>0</v>
      </c>
      <c r="AT10" s="16">
        <v>0</v>
      </c>
      <c r="AU10" s="16">
        <v>1</v>
      </c>
      <c r="AV10" s="16">
        <v>0</v>
      </c>
      <c r="AW10" s="16"/>
      <c r="AX10" s="13">
        <f t="shared" si="0"/>
        <v>2</v>
      </c>
      <c r="AY10" s="13" t="s">
        <v>56</v>
      </c>
      <c r="AZ10" s="13" t="s">
        <v>72</v>
      </c>
    </row>
    <row r="11" spans="1:52" ht="14.25" customHeight="1" x14ac:dyDescent="0.3">
      <c r="A11" s="16" t="s">
        <v>73</v>
      </c>
      <c r="B11" s="26">
        <v>9007</v>
      </c>
      <c r="C11" s="16">
        <v>39.6</v>
      </c>
      <c r="D11" s="18">
        <v>386</v>
      </c>
      <c r="E11" s="18">
        <v>2115</v>
      </c>
      <c r="F11" s="18">
        <v>1454</v>
      </c>
      <c r="G11" s="18">
        <v>137</v>
      </c>
      <c r="H11" s="19">
        <v>579265600</v>
      </c>
      <c r="I11" s="18">
        <v>206875</v>
      </c>
      <c r="J11" s="18">
        <v>69631</v>
      </c>
      <c r="K11" s="16">
        <v>2936</v>
      </c>
      <c r="L11" s="16">
        <v>3.1</v>
      </c>
      <c r="M11" s="13">
        <v>119</v>
      </c>
      <c r="N11" s="13">
        <v>169</v>
      </c>
      <c r="O11" s="13">
        <v>4865</v>
      </c>
      <c r="P11" s="20">
        <v>6</v>
      </c>
      <c r="Q11" s="21">
        <v>10</v>
      </c>
      <c r="R11" s="22">
        <v>5</v>
      </c>
      <c r="S11" s="23">
        <v>21</v>
      </c>
      <c r="T11" s="24">
        <v>6.94</v>
      </c>
      <c r="U11" s="24">
        <v>0.73</v>
      </c>
      <c r="V11" s="24">
        <v>0.39</v>
      </c>
      <c r="W11" s="25">
        <v>4061</v>
      </c>
      <c r="X11" s="24">
        <v>5.0999999999999997E-2</v>
      </c>
      <c r="Y11" s="24">
        <v>0.37</v>
      </c>
      <c r="Z11" s="24">
        <v>8.1000000000000003E-2</v>
      </c>
      <c r="AA11" s="24">
        <v>2.1999999999999999E-2</v>
      </c>
      <c r="AB11" s="24">
        <v>0.74</v>
      </c>
      <c r="AC11" s="25">
        <v>9812</v>
      </c>
      <c r="AD11" s="24">
        <v>0.64</v>
      </c>
      <c r="AE11" s="24">
        <v>0.06</v>
      </c>
      <c r="AF11" s="24">
        <v>0.53</v>
      </c>
      <c r="AG11" s="24">
        <v>1.89</v>
      </c>
      <c r="AH11" s="16">
        <v>4508368</v>
      </c>
      <c r="AI11" s="16">
        <v>3002023</v>
      </c>
      <c r="AJ11" s="16">
        <v>0</v>
      </c>
      <c r="AK11" s="16">
        <v>366000</v>
      </c>
      <c r="AL11" s="16">
        <v>0</v>
      </c>
      <c r="AM11" s="16">
        <v>0</v>
      </c>
      <c r="AN11" s="16">
        <v>5736451</v>
      </c>
      <c r="AO11" s="13" t="s">
        <v>52</v>
      </c>
      <c r="AP11" s="16">
        <v>2020</v>
      </c>
      <c r="AQ11" s="16">
        <v>1</v>
      </c>
      <c r="AR11" s="16">
        <v>1</v>
      </c>
      <c r="AS11" s="16">
        <v>0</v>
      </c>
      <c r="AT11" s="16">
        <v>0</v>
      </c>
      <c r="AU11" s="16">
        <v>0</v>
      </c>
      <c r="AV11" s="16">
        <v>0</v>
      </c>
      <c r="AW11" s="13"/>
      <c r="AX11" s="13">
        <f t="shared" si="0"/>
        <v>1</v>
      </c>
      <c r="AY11" s="13" t="s">
        <v>56</v>
      </c>
      <c r="AZ11" t="s">
        <v>74</v>
      </c>
    </row>
    <row r="12" spans="1:52" ht="14.25" customHeight="1" x14ac:dyDescent="0.3">
      <c r="A12" s="16" t="s">
        <v>75</v>
      </c>
      <c r="B12" s="16">
        <v>30209</v>
      </c>
      <c r="C12" s="16">
        <v>48</v>
      </c>
      <c r="D12" s="18">
        <v>1489</v>
      </c>
      <c r="E12" s="18">
        <v>7936</v>
      </c>
      <c r="F12" s="18">
        <v>4217</v>
      </c>
      <c r="G12" s="18">
        <v>740</v>
      </c>
      <c r="H12" s="19">
        <v>2640311400</v>
      </c>
      <c r="I12" s="18">
        <v>147067</v>
      </c>
      <c r="J12" s="18">
        <v>90133</v>
      </c>
      <c r="K12" s="16">
        <v>12095</v>
      </c>
      <c r="L12" s="16">
        <v>2.4700000000000002</v>
      </c>
      <c r="M12" s="13">
        <v>1020</v>
      </c>
      <c r="N12" s="13">
        <v>524</v>
      </c>
      <c r="O12" s="13">
        <v>15300</v>
      </c>
      <c r="P12" s="20">
        <v>4</v>
      </c>
      <c r="Q12" s="21">
        <v>9</v>
      </c>
      <c r="R12" s="22">
        <v>6</v>
      </c>
      <c r="S12" s="23">
        <v>19</v>
      </c>
      <c r="T12" s="24">
        <v>18.29</v>
      </c>
      <c r="U12" s="24">
        <v>1.47</v>
      </c>
      <c r="V12" s="24">
        <v>0.19</v>
      </c>
      <c r="W12" s="25">
        <v>1985</v>
      </c>
      <c r="X12" s="24">
        <v>1.09E-2</v>
      </c>
      <c r="Y12" s="24">
        <v>0.42</v>
      </c>
      <c r="Z12" s="24">
        <v>3.9E-2</v>
      </c>
      <c r="AA12" s="24">
        <v>1.4E-2</v>
      </c>
      <c r="AB12" s="24">
        <v>0.62</v>
      </c>
      <c r="AC12" s="25">
        <v>6528</v>
      </c>
      <c r="AD12" s="24">
        <v>0.44</v>
      </c>
      <c r="AE12" s="24">
        <v>7.3999999999999996E-2</v>
      </c>
      <c r="AF12" s="24">
        <v>0.54500000000000004</v>
      </c>
      <c r="AG12" s="24">
        <v>1.83</v>
      </c>
      <c r="AH12" s="16">
        <v>38768816</v>
      </c>
      <c r="AI12" s="16">
        <v>23943691</v>
      </c>
      <c r="AJ12" s="16">
        <v>55993795</v>
      </c>
      <c r="AK12" s="16">
        <v>0</v>
      </c>
      <c r="AL12" s="16">
        <v>0</v>
      </c>
      <c r="AM12" s="16">
        <v>0</v>
      </c>
      <c r="AN12" s="16">
        <v>55993795</v>
      </c>
      <c r="AO12" s="13" t="s">
        <v>59</v>
      </c>
      <c r="AP12" s="16">
        <v>2023</v>
      </c>
      <c r="AQ12" s="16">
        <v>1</v>
      </c>
      <c r="AR12" s="16">
        <v>1</v>
      </c>
      <c r="AS12" s="16">
        <v>0</v>
      </c>
      <c r="AT12" s="16">
        <v>0</v>
      </c>
      <c r="AU12" s="16">
        <v>1</v>
      </c>
      <c r="AV12" s="16">
        <v>0</v>
      </c>
      <c r="AW12" s="27"/>
      <c r="AX12" s="13">
        <f t="shared" si="0"/>
        <v>2</v>
      </c>
      <c r="AY12" s="13" t="s">
        <v>56</v>
      </c>
      <c r="AZ12" t="s">
        <v>76</v>
      </c>
    </row>
    <row r="13" spans="1:52" ht="14.25" customHeight="1" x14ac:dyDescent="0.3">
      <c r="A13" s="16" t="s">
        <v>77</v>
      </c>
      <c r="B13" s="16">
        <v>5919</v>
      </c>
      <c r="C13" s="16">
        <v>45.3</v>
      </c>
      <c r="D13" s="18">
        <v>245</v>
      </c>
      <c r="E13" s="18">
        <v>1488</v>
      </c>
      <c r="F13" s="18">
        <v>854</v>
      </c>
      <c r="G13" s="18">
        <v>176</v>
      </c>
      <c r="H13" s="19">
        <v>482334200</v>
      </c>
      <c r="I13" s="18">
        <v>174444</v>
      </c>
      <c r="J13" s="18">
        <v>87123</v>
      </c>
      <c r="K13" s="16">
        <v>2206</v>
      </c>
      <c r="L13" s="16">
        <v>2.68</v>
      </c>
      <c r="M13" s="13">
        <v>116</v>
      </c>
      <c r="N13" s="13">
        <v>65</v>
      </c>
      <c r="O13" s="13">
        <v>2880</v>
      </c>
      <c r="P13" s="20">
        <v>5</v>
      </c>
      <c r="Q13" s="21">
        <v>9</v>
      </c>
      <c r="R13" s="22">
        <v>7</v>
      </c>
      <c r="S13" s="23">
        <v>21</v>
      </c>
      <c r="T13" s="24">
        <v>4.33</v>
      </c>
      <c r="U13" s="24">
        <v>0.18</v>
      </c>
      <c r="V13" s="24">
        <v>0.27</v>
      </c>
      <c r="W13" s="25">
        <v>2836</v>
      </c>
      <c r="X13" s="24">
        <v>0</v>
      </c>
      <c r="Y13" s="24">
        <v>0.28999999999999998</v>
      </c>
      <c r="Z13" s="24">
        <v>0.01</v>
      </c>
      <c r="AA13" s="24">
        <v>0.01</v>
      </c>
      <c r="AB13" s="24">
        <v>0.54</v>
      </c>
      <c r="AC13" s="25">
        <v>5709</v>
      </c>
      <c r="AD13" s="24">
        <v>0.82</v>
      </c>
      <c r="AE13" s="24">
        <v>0.05</v>
      </c>
      <c r="AF13" s="24">
        <v>0.31</v>
      </c>
      <c r="AG13" s="24">
        <v>3.27</v>
      </c>
      <c r="AH13" s="16">
        <v>7161725</v>
      </c>
      <c r="AI13" s="16">
        <v>5537061</v>
      </c>
      <c r="AJ13" s="16">
        <v>0</v>
      </c>
      <c r="AK13" s="16">
        <v>0</v>
      </c>
      <c r="AL13" s="16">
        <v>1928000</v>
      </c>
      <c r="AM13" s="16">
        <v>569279</v>
      </c>
      <c r="AN13" s="16">
        <v>17759613</v>
      </c>
      <c r="AO13" s="13" t="s">
        <v>52</v>
      </c>
      <c r="AP13" s="16">
        <v>2022</v>
      </c>
      <c r="AQ13" s="16">
        <v>1</v>
      </c>
      <c r="AR13" s="16">
        <v>1</v>
      </c>
      <c r="AS13" s="16">
        <v>0</v>
      </c>
      <c r="AT13" s="16">
        <v>0</v>
      </c>
      <c r="AU13" s="16">
        <v>0</v>
      </c>
      <c r="AV13" s="16">
        <v>0</v>
      </c>
      <c r="AW13" s="16"/>
      <c r="AX13" s="13">
        <f t="shared" si="0"/>
        <v>1</v>
      </c>
      <c r="AY13" s="13" t="s">
        <v>56</v>
      </c>
      <c r="AZ13" t="s">
        <v>78</v>
      </c>
    </row>
    <row r="14" spans="1:52" ht="14.25" customHeight="1" x14ac:dyDescent="0.3">
      <c r="A14" s="16" t="s">
        <v>79</v>
      </c>
      <c r="B14" s="41">
        <v>20579</v>
      </c>
      <c r="C14" s="13">
        <v>42.4</v>
      </c>
      <c r="D14" s="18">
        <v>1086</v>
      </c>
      <c r="E14" s="18">
        <v>5280</v>
      </c>
      <c r="F14" s="18">
        <v>3259</v>
      </c>
      <c r="G14" s="18">
        <v>528</v>
      </c>
      <c r="H14" s="19">
        <v>1450548700</v>
      </c>
      <c r="I14" s="18">
        <v>150580</v>
      </c>
      <c r="J14" s="18">
        <v>72487</v>
      </c>
      <c r="K14" s="13">
        <v>7608</v>
      </c>
      <c r="L14" s="13">
        <v>2.64</v>
      </c>
      <c r="M14" s="13">
        <v>634</v>
      </c>
      <c r="N14" s="13">
        <v>334</v>
      </c>
      <c r="O14" s="13">
        <v>10315</v>
      </c>
      <c r="P14" s="20">
        <v>4</v>
      </c>
      <c r="Q14" s="21">
        <v>4</v>
      </c>
      <c r="R14" s="22">
        <v>5</v>
      </c>
      <c r="S14" s="23">
        <v>13</v>
      </c>
      <c r="T14" s="13">
        <v>4.12</v>
      </c>
      <c r="U14" s="13">
        <v>-0.28000000000000003</v>
      </c>
      <c r="V14" s="18">
        <v>0.13200000000000001</v>
      </c>
      <c r="W14" s="42">
        <v>1690</v>
      </c>
      <c r="X14" s="13">
        <v>1.2699999999999999E-2</v>
      </c>
      <c r="Y14" s="13">
        <v>0.38700000000000001</v>
      </c>
      <c r="Z14" s="18">
        <v>0.03</v>
      </c>
      <c r="AA14" s="13">
        <v>7.6999999999999999E-2</v>
      </c>
      <c r="AB14" s="18">
        <v>0.76</v>
      </c>
      <c r="AC14" s="43">
        <v>4852</v>
      </c>
      <c r="AD14" s="13">
        <v>1.069</v>
      </c>
      <c r="AE14" s="18">
        <v>1.9E-2</v>
      </c>
      <c r="AF14" s="18">
        <v>0.35</v>
      </c>
      <c r="AG14" s="18">
        <v>2.75</v>
      </c>
      <c r="AH14" s="44">
        <v>12428186</v>
      </c>
      <c r="AI14" s="44">
        <v>22469414</v>
      </c>
      <c r="AJ14" s="44">
        <v>23025000</v>
      </c>
      <c r="AK14" s="16">
        <v>0</v>
      </c>
      <c r="AL14" s="44">
        <v>24780000</v>
      </c>
      <c r="AM14" s="16">
        <v>0</v>
      </c>
      <c r="AN14" s="44">
        <v>47805000</v>
      </c>
      <c r="AO14" s="13" t="s">
        <v>52</v>
      </c>
      <c r="AP14" s="16">
        <v>2022</v>
      </c>
      <c r="AQ14" s="16">
        <v>1</v>
      </c>
      <c r="AR14" s="16">
        <v>1</v>
      </c>
      <c r="AS14" s="16">
        <v>0</v>
      </c>
      <c r="AT14" s="16">
        <v>0</v>
      </c>
      <c r="AU14" s="16">
        <v>0</v>
      </c>
      <c r="AV14" s="16">
        <v>0</v>
      </c>
      <c r="AW14" s="16"/>
      <c r="AX14" s="13">
        <f t="shared" si="0"/>
        <v>1</v>
      </c>
      <c r="AY14" s="13" t="s">
        <v>56</v>
      </c>
      <c r="AZ14" t="s">
        <v>80</v>
      </c>
    </row>
    <row r="15" spans="1:52" ht="14.25" customHeight="1" x14ac:dyDescent="0.3">
      <c r="A15" s="16" t="s">
        <v>81</v>
      </c>
      <c r="B15" s="24">
        <v>13463</v>
      </c>
      <c r="C15" s="16">
        <v>44.3</v>
      </c>
      <c r="D15" s="18">
        <v>1193</v>
      </c>
      <c r="E15" s="18">
        <v>3315</v>
      </c>
      <c r="F15" s="18">
        <v>899</v>
      </c>
      <c r="G15" s="18">
        <v>219</v>
      </c>
      <c r="H15" s="19">
        <v>534449900</v>
      </c>
      <c r="I15" s="18">
        <v>90422</v>
      </c>
      <c r="J15" s="18">
        <v>44380</v>
      </c>
      <c r="K15" s="16">
        <v>4669</v>
      </c>
      <c r="L15" s="16">
        <v>2.82</v>
      </c>
      <c r="M15" s="13">
        <v>709</v>
      </c>
      <c r="N15" s="13">
        <v>425</v>
      </c>
      <c r="O15" s="13">
        <v>5687</v>
      </c>
      <c r="P15" s="20">
        <v>2</v>
      </c>
      <c r="Q15" s="21">
        <v>3</v>
      </c>
      <c r="R15" s="22">
        <v>7</v>
      </c>
      <c r="S15" s="23">
        <v>12</v>
      </c>
      <c r="T15" s="24">
        <v>5.25</v>
      </c>
      <c r="U15" s="24">
        <v>0.08</v>
      </c>
      <c r="V15" s="24">
        <v>0.7</v>
      </c>
      <c r="W15" s="25">
        <v>5426</v>
      </c>
      <c r="X15" s="24">
        <v>0.05</v>
      </c>
      <c r="Y15" s="24">
        <v>0.36</v>
      </c>
      <c r="Z15" s="24">
        <v>7.0000000000000007E-2</v>
      </c>
      <c r="AA15" s="24">
        <v>0.01</v>
      </c>
      <c r="AB15" s="24">
        <v>0.54</v>
      </c>
      <c r="AC15" s="25">
        <v>4237</v>
      </c>
      <c r="AD15" s="24">
        <v>0.72</v>
      </c>
      <c r="AE15" s="24">
        <v>0.42</v>
      </c>
      <c r="AF15" s="24">
        <v>0.73</v>
      </c>
      <c r="AG15" s="24">
        <v>1.32</v>
      </c>
      <c r="AH15" s="16">
        <v>15206846</v>
      </c>
      <c r="AI15" s="16">
        <v>10900189</v>
      </c>
      <c r="AJ15" s="16">
        <v>25480000</v>
      </c>
      <c r="AK15" s="16">
        <v>0</v>
      </c>
      <c r="AL15" s="16">
        <v>0</v>
      </c>
      <c r="AM15" s="16">
        <v>76898</v>
      </c>
      <c r="AN15" s="16">
        <v>85137974</v>
      </c>
      <c r="AO15" s="13" t="s">
        <v>52</v>
      </c>
      <c r="AP15" s="16">
        <v>2023</v>
      </c>
      <c r="AQ15" s="16">
        <v>1</v>
      </c>
      <c r="AR15" s="16">
        <v>1</v>
      </c>
      <c r="AS15" s="16">
        <v>0</v>
      </c>
      <c r="AT15" s="16">
        <v>0</v>
      </c>
      <c r="AU15" s="16">
        <v>0</v>
      </c>
      <c r="AV15" s="16">
        <v>0</v>
      </c>
      <c r="AW15" s="16"/>
      <c r="AX15" s="13">
        <f t="shared" si="0"/>
        <v>1</v>
      </c>
      <c r="AY15" s="13" t="s">
        <v>56</v>
      </c>
      <c r="AZ15" t="s">
        <v>82</v>
      </c>
    </row>
    <row r="16" spans="1:52" ht="14.25" customHeight="1" x14ac:dyDescent="0.3">
      <c r="A16" s="16" t="s">
        <v>83</v>
      </c>
      <c r="B16" s="26">
        <v>25297</v>
      </c>
      <c r="C16" s="16">
        <v>44.6</v>
      </c>
      <c r="D16" s="18">
        <v>3140</v>
      </c>
      <c r="E16" s="18">
        <v>5064</v>
      </c>
      <c r="F16" s="18">
        <v>2425</v>
      </c>
      <c r="G16" s="18">
        <v>301</v>
      </c>
      <c r="H16" s="19">
        <v>925589400</v>
      </c>
      <c r="I16" s="18">
        <v>87063</v>
      </c>
      <c r="J16" s="18">
        <v>40923</v>
      </c>
      <c r="K16" s="16">
        <v>9166</v>
      </c>
      <c r="L16" s="16">
        <v>2.7</v>
      </c>
      <c r="M16" s="13">
        <v>1747</v>
      </c>
      <c r="N16" s="13">
        <v>474</v>
      </c>
      <c r="O16" s="13">
        <v>12635</v>
      </c>
      <c r="P16" s="20">
        <v>4</v>
      </c>
      <c r="Q16" s="21">
        <v>4</v>
      </c>
      <c r="R16" s="22">
        <v>7</v>
      </c>
      <c r="S16" s="23">
        <v>15</v>
      </c>
      <c r="T16" s="24">
        <v>9.5500000000000007</v>
      </c>
      <c r="U16" s="24">
        <v>-0.68</v>
      </c>
      <c r="V16" s="24">
        <v>0.9</v>
      </c>
      <c r="W16" s="25">
        <v>1017</v>
      </c>
      <c r="X16" s="24">
        <v>3.9E-2</v>
      </c>
      <c r="Y16" s="24">
        <v>0.49</v>
      </c>
      <c r="Z16" s="24">
        <v>0.06</v>
      </c>
      <c r="AA16" s="24">
        <v>0.01</v>
      </c>
      <c r="AB16" s="24">
        <v>0.56000000000000005</v>
      </c>
      <c r="AC16" s="25">
        <v>2400</v>
      </c>
      <c r="AD16" s="24">
        <v>0.96</v>
      </c>
      <c r="AE16" s="24">
        <v>0.37</v>
      </c>
      <c r="AF16" s="24">
        <v>0.92</v>
      </c>
      <c r="AG16" s="24">
        <v>1.04</v>
      </c>
      <c r="AH16" s="16">
        <v>27828587</v>
      </c>
      <c r="AI16" s="16">
        <v>12723733</v>
      </c>
      <c r="AJ16" s="16">
        <v>4440000</v>
      </c>
      <c r="AK16" s="16">
        <v>0</v>
      </c>
      <c r="AL16" s="16">
        <v>0</v>
      </c>
      <c r="AM16" s="16">
        <v>0</v>
      </c>
      <c r="AN16" s="16">
        <v>4440000</v>
      </c>
      <c r="AO16" s="13" t="s">
        <v>52</v>
      </c>
      <c r="AP16" s="16">
        <v>2021</v>
      </c>
      <c r="AQ16" s="16">
        <v>1</v>
      </c>
      <c r="AR16" s="16">
        <v>1</v>
      </c>
      <c r="AS16" s="16">
        <v>0</v>
      </c>
      <c r="AT16" s="16">
        <v>0</v>
      </c>
      <c r="AU16" s="16">
        <v>0</v>
      </c>
      <c r="AV16" s="16">
        <v>0</v>
      </c>
      <c r="AW16" s="16"/>
      <c r="AX16" s="13">
        <f t="shared" si="0"/>
        <v>1</v>
      </c>
      <c r="AY16" s="13" t="s">
        <v>56</v>
      </c>
      <c r="AZ16" t="s">
        <v>84</v>
      </c>
    </row>
    <row r="17" spans="1:52" ht="14.25" customHeight="1" x14ac:dyDescent="0.3">
      <c r="A17" s="16" t="s">
        <v>85</v>
      </c>
      <c r="B17" s="26">
        <v>56852</v>
      </c>
      <c r="C17" s="16">
        <v>41.2</v>
      </c>
      <c r="D17" s="18">
        <v>8097</v>
      </c>
      <c r="E17" s="18">
        <v>11497</v>
      </c>
      <c r="F17" s="18">
        <v>4343</v>
      </c>
      <c r="G17" s="18">
        <v>516</v>
      </c>
      <c r="H17" s="19">
        <v>2153938100</v>
      </c>
      <c r="I17" s="18">
        <v>84353</v>
      </c>
      <c r="J17" s="18">
        <v>40452</v>
      </c>
      <c r="K17" s="16">
        <v>21917</v>
      </c>
      <c r="L17" s="16">
        <v>2.56</v>
      </c>
      <c r="M17" s="13">
        <v>2770</v>
      </c>
      <c r="N17" s="13">
        <v>1071</v>
      </c>
      <c r="O17" s="13">
        <v>30562</v>
      </c>
      <c r="P17" s="20">
        <v>2</v>
      </c>
      <c r="Q17" s="21">
        <v>0</v>
      </c>
      <c r="R17" s="22">
        <v>4</v>
      </c>
      <c r="S17" s="23">
        <v>6</v>
      </c>
      <c r="T17" s="24">
        <v>10.31</v>
      </c>
      <c r="U17" s="24">
        <v>-3.62</v>
      </c>
      <c r="V17" s="24">
        <v>0.82</v>
      </c>
      <c r="W17" s="25">
        <v>4140</v>
      </c>
      <c r="X17" s="24">
        <v>5.2999999999999999E-2</v>
      </c>
      <c r="Y17" s="24">
        <v>0.49</v>
      </c>
      <c r="Z17" s="24">
        <v>7.0000000000000007E-2</v>
      </c>
      <c r="AA17" s="24">
        <v>0.01</v>
      </c>
      <c r="AB17" s="24">
        <v>0.46</v>
      </c>
      <c r="AC17" s="25">
        <v>2310</v>
      </c>
      <c r="AD17" s="24">
        <v>0.21</v>
      </c>
      <c r="AE17" s="24">
        <v>0.18</v>
      </c>
      <c r="AF17" s="24">
        <v>0.87</v>
      </c>
      <c r="AG17" s="24">
        <v>1.1499999999999999</v>
      </c>
      <c r="AH17" s="16">
        <v>35405639</v>
      </c>
      <c r="AI17" s="16">
        <v>56884248</v>
      </c>
      <c r="AJ17" s="16">
        <v>96755000</v>
      </c>
      <c r="AK17" s="16">
        <v>0</v>
      </c>
      <c r="AL17" s="16">
        <v>0</v>
      </c>
      <c r="AM17" s="16">
        <v>38290593</v>
      </c>
      <c r="AN17" s="16">
        <v>277208569</v>
      </c>
      <c r="AO17" s="13" t="s">
        <v>52</v>
      </c>
      <c r="AP17" s="16">
        <v>2023</v>
      </c>
      <c r="AQ17" s="16">
        <v>1</v>
      </c>
      <c r="AR17" s="16">
        <v>1</v>
      </c>
      <c r="AS17" s="16">
        <v>0</v>
      </c>
      <c r="AT17" s="16">
        <v>0</v>
      </c>
      <c r="AU17" s="16">
        <v>0</v>
      </c>
      <c r="AV17" s="16">
        <v>0</v>
      </c>
      <c r="AW17" s="16"/>
      <c r="AX17" s="13">
        <f t="shared" si="0"/>
        <v>1</v>
      </c>
      <c r="AY17" s="13" t="s">
        <v>56</v>
      </c>
      <c r="AZ17" s="13" t="s">
        <v>86</v>
      </c>
    </row>
    <row r="18" spans="1:52" s="38" customFormat="1" ht="13.5" customHeight="1" x14ac:dyDescent="0.3">
      <c r="A18" s="31" t="s">
        <v>87</v>
      </c>
      <c r="B18" s="45">
        <v>150245</v>
      </c>
      <c r="C18" s="31">
        <v>39.5</v>
      </c>
      <c r="D18" s="32">
        <v>8236</v>
      </c>
      <c r="E18" s="32">
        <v>39440</v>
      </c>
      <c r="F18" s="32">
        <v>22464</v>
      </c>
      <c r="G18" s="32">
        <v>3212</v>
      </c>
      <c r="H18" s="33">
        <v>8472962400</v>
      </c>
      <c r="I18" s="32">
        <v>127648</v>
      </c>
      <c r="J18" s="32">
        <v>58075</v>
      </c>
      <c r="K18" s="31">
        <v>53815</v>
      </c>
      <c r="L18" s="31">
        <v>2.73</v>
      </c>
      <c r="M18" s="34">
        <v>6347</v>
      </c>
      <c r="N18" s="34">
        <v>3635</v>
      </c>
      <c r="O18" s="34">
        <v>80271</v>
      </c>
      <c r="P18" s="20">
        <v>6</v>
      </c>
      <c r="Q18" s="21">
        <v>13</v>
      </c>
      <c r="R18" s="22">
        <v>18</v>
      </c>
      <c r="S18" s="23">
        <v>37</v>
      </c>
      <c r="T18" s="27">
        <v>2.8730000000000002</v>
      </c>
      <c r="U18" s="27">
        <v>6.4000000000000001E-2</v>
      </c>
      <c r="V18">
        <v>5.8999999999999997E-2</v>
      </c>
      <c r="W18" s="39">
        <v>514</v>
      </c>
      <c r="X18" s="27">
        <v>4.1999999999999997E-3</v>
      </c>
      <c r="Y18">
        <v>0.45</v>
      </c>
      <c r="Z18" s="27">
        <v>1.8700000000000001E-2</v>
      </c>
      <c r="AA18">
        <v>1.46E-2</v>
      </c>
      <c r="AB18" s="27">
        <v>0.73599999999999999</v>
      </c>
      <c r="AC18" s="39">
        <v>4546</v>
      </c>
      <c r="AD18">
        <v>0.92800000000000005</v>
      </c>
      <c r="AE18" s="27">
        <v>0.04</v>
      </c>
      <c r="AF18">
        <v>0.27600000000000002</v>
      </c>
      <c r="AG18">
        <v>3.6219999999999999</v>
      </c>
      <c r="AH18" s="31">
        <v>89545808</v>
      </c>
      <c r="AI18" s="31">
        <v>119519389</v>
      </c>
      <c r="AJ18" s="31">
        <v>82495000</v>
      </c>
      <c r="AK18" s="31">
        <v>0</v>
      </c>
      <c r="AL18" s="31">
        <v>0</v>
      </c>
      <c r="AM18" s="31">
        <v>0</v>
      </c>
      <c r="AN18" s="31">
        <v>82495000</v>
      </c>
      <c r="AO18" s="34" t="s">
        <v>52</v>
      </c>
      <c r="AP18" s="31">
        <v>2021</v>
      </c>
      <c r="AQ18" s="31">
        <v>1</v>
      </c>
      <c r="AR18" s="16">
        <v>1</v>
      </c>
      <c r="AS18" s="16">
        <v>0</v>
      </c>
      <c r="AT18" s="31">
        <v>1</v>
      </c>
      <c r="AU18" s="31">
        <v>0</v>
      </c>
      <c r="AV18" s="16">
        <v>0</v>
      </c>
      <c r="AW18" s="31"/>
      <c r="AX18" s="13">
        <f t="shared" si="0"/>
        <v>2</v>
      </c>
      <c r="AY18" s="34" t="s">
        <v>53</v>
      </c>
      <c r="AZ18" s="13" t="s">
        <v>88</v>
      </c>
    </row>
    <row r="19" spans="1:52" ht="13.5" customHeight="1" x14ac:dyDescent="0.3">
      <c r="A19" s="16" t="s">
        <v>89</v>
      </c>
      <c r="B19" s="41">
        <v>54583</v>
      </c>
      <c r="C19" s="13">
        <v>40.299999999999997</v>
      </c>
      <c r="D19" s="18">
        <v>2912</v>
      </c>
      <c r="E19" s="18">
        <v>11743</v>
      </c>
      <c r="F19" s="18">
        <v>9143</v>
      </c>
      <c r="G19" s="18">
        <v>1876</v>
      </c>
      <c r="H19" s="19">
        <v>2983634700</v>
      </c>
      <c r="I19" s="18">
        <v>96945</v>
      </c>
      <c r="J19" s="18">
        <v>58262</v>
      </c>
      <c r="K19" s="13">
        <v>23345</v>
      </c>
      <c r="L19" s="13">
        <v>2.29</v>
      </c>
      <c r="M19" s="13">
        <v>3683</v>
      </c>
      <c r="N19" s="13">
        <v>1477</v>
      </c>
      <c r="O19" s="13">
        <v>29937</v>
      </c>
      <c r="P19" s="20">
        <v>6</v>
      </c>
      <c r="Q19" s="21">
        <v>8</v>
      </c>
      <c r="R19" s="22">
        <v>6</v>
      </c>
      <c r="S19" s="23">
        <v>20</v>
      </c>
      <c r="T19">
        <v>2.2930000000000001</v>
      </c>
      <c r="U19">
        <v>-0.749</v>
      </c>
      <c r="V19">
        <v>0.192</v>
      </c>
      <c r="W19" s="39">
        <v>1517</v>
      </c>
      <c r="X19" s="18">
        <v>2.7E-2</v>
      </c>
      <c r="Y19" s="27">
        <v>0.46899999999999997</v>
      </c>
      <c r="Z19" s="27">
        <v>2.4500000000000001E-2</v>
      </c>
      <c r="AA19" s="27">
        <v>7.5200000000000003E-2</v>
      </c>
      <c r="AB19" s="18">
        <v>0.56999999999999995</v>
      </c>
      <c r="AC19" s="39">
        <v>3779</v>
      </c>
      <c r="AD19">
        <v>1.6779999999999999</v>
      </c>
      <c r="AE19" s="27">
        <v>0.129</v>
      </c>
      <c r="AF19" s="18">
        <v>0.71</v>
      </c>
      <c r="AG19" s="18">
        <v>1.4</v>
      </c>
      <c r="AH19" s="44">
        <v>51158114</v>
      </c>
      <c r="AI19" s="44">
        <v>34689925</v>
      </c>
      <c r="AJ19" s="44">
        <v>81870000</v>
      </c>
      <c r="AK19" s="44">
        <v>0</v>
      </c>
      <c r="AL19" s="44">
        <v>0</v>
      </c>
      <c r="AM19" s="44">
        <v>0</v>
      </c>
      <c r="AN19" s="44">
        <v>265014270</v>
      </c>
      <c r="AO19" s="13" t="s">
        <v>52</v>
      </c>
      <c r="AP19" s="16">
        <v>2024</v>
      </c>
      <c r="AQ19" s="16">
        <v>1</v>
      </c>
      <c r="AR19" s="16">
        <v>1</v>
      </c>
      <c r="AS19" s="16">
        <v>1</v>
      </c>
      <c r="AT19" s="16">
        <v>1</v>
      </c>
      <c r="AU19" s="16">
        <v>1</v>
      </c>
      <c r="AV19" s="16">
        <v>0</v>
      </c>
      <c r="AW19" s="16"/>
      <c r="AX19" s="13">
        <f t="shared" si="0"/>
        <v>4</v>
      </c>
      <c r="AY19" s="13" t="s">
        <v>53</v>
      </c>
      <c r="AZ19" s="29" t="s">
        <v>90</v>
      </c>
    </row>
    <row r="20" spans="1:52" ht="14.25" customHeight="1" x14ac:dyDescent="0.3">
      <c r="A20" s="16" t="s">
        <v>91</v>
      </c>
      <c r="B20" s="16">
        <v>39368</v>
      </c>
      <c r="C20" s="16">
        <v>45.1</v>
      </c>
      <c r="D20" s="18">
        <v>3040</v>
      </c>
      <c r="E20" s="18">
        <v>9683</v>
      </c>
      <c r="F20" s="18">
        <v>4770</v>
      </c>
      <c r="G20" s="18">
        <v>499</v>
      </c>
      <c r="H20" s="19">
        <v>2176104400</v>
      </c>
      <c r="I20" s="18">
        <v>113809</v>
      </c>
      <c r="J20" s="18">
        <v>58978</v>
      </c>
      <c r="K20" s="16">
        <v>15234</v>
      </c>
      <c r="L20" s="16">
        <v>2.5499999999999998</v>
      </c>
      <c r="M20" s="13">
        <v>1683</v>
      </c>
      <c r="N20" s="13">
        <v>707</v>
      </c>
      <c r="O20" s="13">
        <v>20429</v>
      </c>
      <c r="P20" s="20">
        <v>2</v>
      </c>
      <c r="Q20" s="21">
        <v>8</v>
      </c>
      <c r="R20" s="22">
        <v>7</v>
      </c>
      <c r="S20" s="23">
        <v>17</v>
      </c>
      <c r="T20" s="24">
        <v>5.83</v>
      </c>
      <c r="U20" s="24">
        <v>-0.16</v>
      </c>
      <c r="V20" s="24">
        <v>0.26</v>
      </c>
      <c r="W20" s="25">
        <v>1458</v>
      </c>
      <c r="X20" s="24">
        <v>8.9999999999999998E-4</v>
      </c>
      <c r="Y20" s="24">
        <v>0.33</v>
      </c>
      <c r="Z20" s="24">
        <v>0.08</v>
      </c>
      <c r="AA20" s="24">
        <v>0.02</v>
      </c>
      <c r="AB20" s="24">
        <v>0.62</v>
      </c>
      <c r="AC20" s="25">
        <v>3480</v>
      </c>
      <c r="AD20" s="24">
        <v>0.93</v>
      </c>
      <c r="AE20" s="24">
        <v>0.13</v>
      </c>
      <c r="AF20" s="24">
        <v>0.3</v>
      </c>
      <c r="AG20" s="24">
        <v>3.31</v>
      </c>
      <c r="AH20" s="16">
        <v>35537650</v>
      </c>
      <c r="AI20" s="16">
        <v>15720015</v>
      </c>
      <c r="AJ20" s="16">
        <v>6575000</v>
      </c>
      <c r="AK20" s="16">
        <v>0</v>
      </c>
      <c r="AL20" s="16">
        <v>0</v>
      </c>
      <c r="AM20" s="16">
        <v>0</v>
      </c>
      <c r="AN20" s="16">
        <v>6581212</v>
      </c>
      <c r="AO20" s="13" t="s">
        <v>52</v>
      </c>
      <c r="AP20" s="16">
        <v>2020</v>
      </c>
      <c r="AQ20" s="16">
        <v>1</v>
      </c>
      <c r="AR20" s="16">
        <v>1</v>
      </c>
      <c r="AS20" s="16">
        <v>0</v>
      </c>
      <c r="AT20" s="16">
        <v>0</v>
      </c>
      <c r="AU20" s="16">
        <v>0</v>
      </c>
      <c r="AV20" s="16">
        <v>0</v>
      </c>
      <c r="AW20" s="46"/>
      <c r="AX20" s="13">
        <f t="shared" si="0"/>
        <v>1</v>
      </c>
      <c r="AY20" s="13" t="s">
        <v>56</v>
      </c>
      <c r="AZ20" s="29" t="s">
        <v>92</v>
      </c>
    </row>
    <row r="21" spans="1:52" ht="14.25" customHeight="1" x14ac:dyDescent="0.3">
      <c r="A21" s="16" t="s">
        <v>93</v>
      </c>
      <c r="B21" s="26">
        <v>9298</v>
      </c>
      <c r="C21" s="16">
        <v>39.700000000000003</v>
      </c>
      <c r="D21" s="18">
        <v>726</v>
      </c>
      <c r="E21" s="18">
        <v>1777</v>
      </c>
      <c r="F21" s="18">
        <v>1151</v>
      </c>
      <c r="G21" s="18">
        <v>268</v>
      </c>
      <c r="H21" s="19">
        <v>480238600</v>
      </c>
      <c r="I21" s="18">
        <v>120336</v>
      </c>
      <c r="J21" s="18">
        <v>55882</v>
      </c>
      <c r="K21" s="16">
        <v>2938</v>
      </c>
      <c r="L21" s="16">
        <v>2.4500000000000002</v>
      </c>
      <c r="M21" s="13">
        <v>296</v>
      </c>
      <c r="N21" s="13">
        <v>143</v>
      </c>
      <c r="O21" s="13">
        <v>4647</v>
      </c>
      <c r="P21" s="20">
        <v>6</v>
      </c>
      <c r="Q21" s="21">
        <v>15</v>
      </c>
      <c r="R21" s="22">
        <v>12</v>
      </c>
      <c r="S21" s="23">
        <v>33</v>
      </c>
      <c r="T21" s="24">
        <v>11.56</v>
      </c>
      <c r="U21" s="24">
        <v>-7.66</v>
      </c>
      <c r="V21" s="24">
        <v>0.6</v>
      </c>
      <c r="W21" s="25">
        <v>2600</v>
      </c>
      <c r="X21" s="24">
        <v>3.8E-3</v>
      </c>
      <c r="Y21" s="24">
        <v>0.77</v>
      </c>
      <c r="Z21" s="24">
        <v>0.08</v>
      </c>
      <c r="AA21" s="24">
        <v>0.02</v>
      </c>
      <c r="AB21" s="24">
        <v>0.55000000000000004</v>
      </c>
      <c r="AC21" s="25">
        <v>2361</v>
      </c>
      <c r="AD21" s="24">
        <v>0.49</v>
      </c>
      <c r="AE21" s="24">
        <v>0.11</v>
      </c>
      <c r="AF21" s="24">
        <v>0.64</v>
      </c>
      <c r="AG21" s="24">
        <v>1.55</v>
      </c>
      <c r="AH21" s="16">
        <v>9289183</v>
      </c>
      <c r="AI21" s="16">
        <v>3506649</v>
      </c>
      <c r="AJ21" s="16">
        <v>2400000</v>
      </c>
      <c r="AK21" s="16">
        <v>0</v>
      </c>
      <c r="AL21" s="16">
        <v>0</v>
      </c>
      <c r="AM21" s="16">
        <v>600034</v>
      </c>
      <c r="AN21" s="16">
        <v>3000034</v>
      </c>
      <c r="AO21" s="13" t="s">
        <v>59</v>
      </c>
      <c r="AP21" s="16">
        <v>2025</v>
      </c>
      <c r="AQ21" s="16">
        <v>0</v>
      </c>
      <c r="AR21" s="16">
        <v>1</v>
      </c>
      <c r="AS21" s="16">
        <v>1</v>
      </c>
      <c r="AT21" s="16">
        <v>1</v>
      </c>
      <c r="AU21" s="16">
        <v>0</v>
      </c>
      <c r="AV21" s="16">
        <v>0</v>
      </c>
      <c r="AW21" s="16"/>
      <c r="AX21" s="13">
        <f t="shared" si="0"/>
        <v>3</v>
      </c>
      <c r="AY21" s="13" t="s">
        <v>56</v>
      </c>
      <c r="AZ21" s="13" t="s">
        <v>94</v>
      </c>
    </row>
    <row r="22" spans="1:52" ht="14.25" customHeight="1" x14ac:dyDescent="0.3">
      <c r="A22" s="16" t="s">
        <v>95</v>
      </c>
      <c r="B22" s="26">
        <v>24200</v>
      </c>
      <c r="C22" s="16">
        <v>38.200000000000003</v>
      </c>
      <c r="D22" s="18">
        <v>3063</v>
      </c>
      <c r="E22" s="18">
        <v>3991</v>
      </c>
      <c r="F22" s="18">
        <v>1671</v>
      </c>
      <c r="G22" s="18">
        <v>103</v>
      </c>
      <c r="H22" s="19">
        <v>862500000</v>
      </c>
      <c r="I22" s="18">
        <v>78609</v>
      </c>
      <c r="J22" s="18">
        <v>37478</v>
      </c>
      <c r="K22" s="16">
        <v>9170</v>
      </c>
      <c r="L22" s="16">
        <v>2.59</v>
      </c>
      <c r="M22" s="13">
        <v>1532</v>
      </c>
      <c r="N22" s="13">
        <v>710</v>
      </c>
      <c r="O22" s="13">
        <v>14107</v>
      </c>
      <c r="P22" s="20">
        <v>6</v>
      </c>
      <c r="Q22" s="21">
        <v>8</v>
      </c>
      <c r="R22" s="22">
        <v>9</v>
      </c>
      <c r="S22" s="23">
        <v>23</v>
      </c>
      <c r="T22" s="24">
        <v>5.72</v>
      </c>
      <c r="U22" s="24">
        <v>-5.75</v>
      </c>
      <c r="V22" s="24">
        <v>0.46</v>
      </c>
      <c r="W22" s="25">
        <v>1530</v>
      </c>
      <c r="X22" s="24">
        <v>0.01</v>
      </c>
      <c r="Y22" s="24">
        <v>0.75</v>
      </c>
      <c r="Z22" s="24">
        <v>0.05</v>
      </c>
      <c r="AA22" s="24">
        <v>0.01</v>
      </c>
      <c r="AB22" s="24">
        <v>0.71</v>
      </c>
      <c r="AC22" s="25">
        <v>6440</v>
      </c>
      <c r="AD22" s="24">
        <v>0.63</v>
      </c>
      <c r="AE22" s="24">
        <v>0.03</v>
      </c>
      <c r="AF22" s="24">
        <v>0.49</v>
      </c>
      <c r="AG22" s="24">
        <v>2.06</v>
      </c>
      <c r="AH22" s="16">
        <v>30735604</v>
      </c>
      <c r="AI22" s="16">
        <v>14398938</v>
      </c>
      <c r="AJ22" s="16">
        <v>15060000</v>
      </c>
      <c r="AK22" s="16">
        <v>0</v>
      </c>
      <c r="AL22" s="16">
        <v>0</v>
      </c>
      <c r="AM22" s="16">
        <v>1509098</v>
      </c>
      <c r="AN22" s="16">
        <v>113666580</v>
      </c>
      <c r="AO22" s="13" t="s">
        <v>52</v>
      </c>
      <c r="AP22" s="16">
        <v>2023</v>
      </c>
      <c r="AQ22" s="16">
        <v>1</v>
      </c>
      <c r="AR22" s="16">
        <v>1</v>
      </c>
      <c r="AS22" s="16">
        <v>0</v>
      </c>
      <c r="AT22" s="16">
        <v>0</v>
      </c>
      <c r="AU22" s="16">
        <v>1</v>
      </c>
      <c r="AV22" s="16">
        <v>0</v>
      </c>
      <c r="AW22" s="16"/>
      <c r="AX22" s="13">
        <f t="shared" si="0"/>
        <v>2</v>
      </c>
      <c r="AY22" s="13" t="s">
        <v>53</v>
      </c>
      <c r="AZ22" s="29" t="s">
        <v>96</v>
      </c>
    </row>
    <row r="23" spans="1:52" ht="14.25" customHeight="1" x14ac:dyDescent="0.3">
      <c r="A23" s="16" t="s">
        <v>97</v>
      </c>
      <c r="B23" s="26">
        <v>67824</v>
      </c>
      <c r="C23" s="16">
        <v>43</v>
      </c>
      <c r="D23" s="18">
        <v>6970</v>
      </c>
      <c r="E23" s="18">
        <v>13647</v>
      </c>
      <c r="F23" s="18">
        <v>5567</v>
      </c>
      <c r="G23" s="18">
        <v>1052</v>
      </c>
      <c r="H23" s="19">
        <v>2346517800</v>
      </c>
      <c r="I23" s="18">
        <v>74725</v>
      </c>
      <c r="J23" s="18">
        <v>37827</v>
      </c>
      <c r="K23" s="16">
        <v>24049</v>
      </c>
      <c r="L23" s="16">
        <v>2.76</v>
      </c>
      <c r="M23" s="13">
        <v>5775</v>
      </c>
      <c r="N23" s="13">
        <v>1796</v>
      </c>
      <c r="O23" s="13">
        <v>33476</v>
      </c>
      <c r="P23" s="20">
        <v>7</v>
      </c>
      <c r="Q23" s="21">
        <v>15</v>
      </c>
      <c r="R23" s="22">
        <v>15</v>
      </c>
      <c r="S23" s="23">
        <v>37</v>
      </c>
      <c r="T23" s="24">
        <v>6.21</v>
      </c>
      <c r="U23" s="24">
        <v>-0.87</v>
      </c>
      <c r="V23" s="24">
        <v>0.67</v>
      </c>
      <c r="W23" s="25">
        <v>2760</v>
      </c>
      <c r="X23" s="24">
        <v>0.02</v>
      </c>
      <c r="Y23" s="24">
        <v>0.77</v>
      </c>
      <c r="Z23" s="24">
        <v>0.04</v>
      </c>
      <c r="AA23" s="24">
        <v>0.01</v>
      </c>
      <c r="AB23" s="24">
        <v>0.55000000000000004</v>
      </c>
      <c r="AC23" s="25">
        <v>3140</v>
      </c>
      <c r="AD23" s="24">
        <v>0.6</v>
      </c>
      <c r="AE23" s="24">
        <v>0.46</v>
      </c>
      <c r="AF23" s="24">
        <v>0.69</v>
      </c>
      <c r="AG23" s="24">
        <v>1.49</v>
      </c>
      <c r="AH23" s="16">
        <v>61444036</v>
      </c>
      <c r="AI23" s="16">
        <v>42115187</v>
      </c>
      <c r="AJ23" s="16">
        <v>198970000</v>
      </c>
      <c r="AK23" s="16">
        <v>0</v>
      </c>
      <c r="AL23" s="16">
        <v>0</v>
      </c>
      <c r="AM23" s="16">
        <v>0</v>
      </c>
      <c r="AN23" s="16">
        <v>203668493</v>
      </c>
      <c r="AO23" s="13" t="s">
        <v>59</v>
      </c>
      <c r="AP23" s="16">
        <v>2022</v>
      </c>
      <c r="AQ23" s="16">
        <v>1</v>
      </c>
      <c r="AR23" s="16">
        <v>1</v>
      </c>
      <c r="AS23" s="16">
        <v>0</v>
      </c>
      <c r="AT23" s="16">
        <v>1</v>
      </c>
      <c r="AU23" s="16">
        <v>1</v>
      </c>
      <c r="AV23" s="16">
        <v>0</v>
      </c>
      <c r="AW23" s="13"/>
      <c r="AX23" s="13">
        <f t="shared" si="0"/>
        <v>3</v>
      </c>
      <c r="AY23" s="13" t="s">
        <v>53</v>
      </c>
      <c r="AZ23" s="29" t="s">
        <v>98</v>
      </c>
    </row>
    <row r="24" spans="1:52" ht="14.25" customHeight="1" x14ac:dyDescent="0.3">
      <c r="A24" s="16" t="s">
        <v>99</v>
      </c>
      <c r="B24" s="16">
        <v>2434</v>
      </c>
      <c r="C24" s="16">
        <v>45.1</v>
      </c>
      <c r="D24" s="18">
        <v>574</v>
      </c>
      <c r="E24" s="18">
        <v>237</v>
      </c>
      <c r="F24" s="18">
        <v>78</v>
      </c>
      <c r="G24" s="18">
        <v>5</v>
      </c>
      <c r="H24" s="19">
        <v>73022100</v>
      </c>
      <c r="I24" s="18">
        <v>66447</v>
      </c>
      <c r="J24" s="18">
        <v>32251</v>
      </c>
      <c r="K24" s="16">
        <v>916</v>
      </c>
      <c r="L24" s="16">
        <v>2.35</v>
      </c>
      <c r="M24" s="13">
        <v>223</v>
      </c>
      <c r="N24" s="13">
        <v>67</v>
      </c>
      <c r="O24" s="13">
        <v>1180</v>
      </c>
      <c r="P24" s="20">
        <v>7</v>
      </c>
      <c r="Q24" s="21">
        <v>15</v>
      </c>
      <c r="R24" s="22">
        <v>10</v>
      </c>
      <c r="S24" s="23">
        <v>32</v>
      </c>
      <c r="T24" s="24">
        <v>5.94</v>
      </c>
      <c r="U24" s="24">
        <v>0.36</v>
      </c>
      <c r="V24" s="24">
        <v>0.14000000000000001</v>
      </c>
      <c r="W24" s="25">
        <v>1134</v>
      </c>
      <c r="X24" s="24">
        <v>7.0000000000000001E-3</v>
      </c>
      <c r="Y24" s="24">
        <v>4.3999999999999997E-2</v>
      </c>
      <c r="Z24" s="24">
        <v>8.9999999999999993E-3</v>
      </c>
      <c r="AA24" s="24">
        <v>1E-3</v>
      </c>
      <c r="AB24" s="24">
        <v>0.45</v>
      </c>
      <c r="AC24" s="25">
        <v>829</v>
      </c>
      <c r="AD24" s="24">
        <v>0.6</v>
      </c>
      <c r="AE24" s="24">
        <v>4.8000000000000001E-2</v>
      </c>
      <c r="AF24" s="24">
        <v>0.21</v>
      </c>
      <c r="AG24" s="24">
        <v>4.84</v>
      </c>
      <c r="AH24" s="16">
        <v>4277461</v>
      </c>
      <c r="AI24" s="16">
        <v>4036758</v>
      </c>
      <c r="AJ24" s="16">
        <v>1180000</v>
      </c>
      <c r="AK24" s="16">
        <v>0</v>
      </c>
      <c r="AL24" s="16">
        <v>0</v>
      </c>
      <c r="AM24" s="16">
        <v>1180547</v>
      </c>
      <c r="AN24" s="16">
        <v>2633308</v>
      </c>
      <c r="AO24" s="13" t="s">
        <v>59</v>
      </c>
      <c r="AP24" s="16">
        <v>2020</v>
      </c>
      <c r="AQ24" s="16">
        <v>1</v>
      </c>
      <c r="AR24" s="16">
        <v>1</v>
      </c>
      <c r="AS24" s="16">
        <v>0</v>
      </c>
      <c r="AT24" s="16">
        <v>0</v>
      </c>
      <c r="AU24" s="16">
        <v>0</v>
      </c>
      <c r="AV24" s="16">
        <v>1</v>
      </c>
      <c r="AW24" s="16" t="s">
        <v>100</v>
      </c>
      <c r="AX24" s="13">
        <f t="shared" si="0"/>
        <v>2</v>
      </c>
      <c r="AY24" s="13" t="s">
        <v>64</v>
      </c>
      <c r="AZ24" s="29" t="s">
        <v>101</v>
      </c>
    </row>
    <row r="25" spans="1:52" ht="14.25" customHeight="1" x14ac:dyDescent="0.3">
      <c r="A25" s="16" t="s">
        <v>102</v>
      </c>
      <c r="B25" s="16">
        <v>26850</v>
      </c>
      <c r="C25" s="16">
        <v>40.6</v>
      </c>
      <c r="D25" s="18">
        <v>2184</v>
      </c>
      <c r="E25" s="18">
        <v>5886</v>
      </c>
      <c r="F25" s="18">
        <v>3921</v>
      </c>
      <c r="G25" s="18">
        <v>561</v>
      </c>
      <c r="H25" s="19">
        <v>1292972900</v>
      </c>
      <c r="I25" s="18">
        <v>100725</v>
      </c>
      <c r="J25" s="18">
        <v>49540</v>
      </c>
      <c r="K25" s="16">
        <v>10366</v>
      </c>
      <c r="L25" s="16">
        <v>2.58</v>
      </c>
      <c r="M25" s="13">
        <v>1205</v>
      </c>
      <c r="N25" s="13">
        <v>533</v>
      </c>
      <c r="O25" s="13">
        <v>14540</v>
      </c>
      <c r="P25" s="20">
        <v>2</v>
      </c>
      <c r="Q25" s="21">
        <v>4</v>
      </c>
      <c r="R25" s="22">
        <v>6</v>
      </c>
      <c r="S25" s="23">
        <v>12</v>
      </c>
      <c r="T25" s="24">
        <v>8.81</v>
      </c>
      <c r="U25" s="24">
        <v>0.24</v>
      </c>
      <c r="V25" s="24">
        <v>0.12</v>
      </c>
      <c r="W25" s="25">
        <v>819</v>
      </c>
      <c r="X25" s="24">
        <v>0.02</v>
      </c>
      <c r="Y25" s="24">
        <v>0.38</v>
      </c>
      <c r="Z25" s="24">
        <v>6.0999999999999999E-2</v>
      </c>
      <c r="AA25" s="24">
        <v>0.01</v>
      </c>
      <c r="AB25" s="24">
        <v>0.46</v>
      </c>
      <c r="AC25" s="25">
        <v>3039</v>
      </c>
      <c r="AD25" s="24">
        <v>0.67</v>
      </c>
      <c r="AE25" s="24">
        <v>0.21299999999999999</v>
      </c>
      <c r="AF25" s="24">
        <v>0.41</v>
      </c>
      <c r="AG25" s="24">
        <v>2.74</v>
      </c>
      <c r="AH25" s="16">
        <v>17639045</v>
      </c>
      <c r="AI25" s="16">
        <v>23681242</v>
      </c>
      <c r="AJ25" s="16">
        <v>24624486</v>
      </c>
      <c r="AK25" s="16">
        <v>0</v>
      </c>
      <c r="AL25" s="16">
        <v>0</v>
      </c>
      <c r="AM25" s="16">
        <v>400002</v>
      </c>
      <c r="AN25" s="16">
        <v>25024488</v>
      </c>
      <c r="AO25" s="13" t="s">
        <v>52</v>
      </c>
      <c r="AP25" s="16">
        <v>2025</v>
      </c>
      <c r="AQ25" s="16">
        <v>0</v>
      </c>
      <c r="AR25" s="16">
        <v>1</v>
      </c>
      <c r="AS25" s="16">
        <v>0</v>
      </c>
      <c r="AT25" s="16">
        <v>0</v>
      </c>
      <c r="AU25" s="16">
        <v>1</v>
      </c>
      <c r="AV25" s="16">
        <v>0</v>
      </c>
      <c r="AW25" s="16"/>
      <c r="AX25" s="13">
        <f t="shared" si="0"/>
        <v>2</v>
      </c>
      <c r="AY25" s="13" t="s">
        <v>64</v>
      </c>
      <c r="AZ25" s="47" t="s">
        <v>103</v>
      </c>
    </row>
    <row r="26" spans="1:52" ht="14.25" customHeight="1" x14ac:dyDescent="0.3">
      <c r="A26" s="16" t="s">
        <v>104</v>
      </c>
      <c r="B26" s="26">
        <v>15195</v>
      </c>
      <c r="C26" s="16">
        <v>38.5</v>
      </c>
      <c r="D26" s="18">
        <v>1239</v>
      </c>
      <c r="E26" s="18">
        <v>2757</v>
      </c>
      <c r="F26" s="18">
        <v>982</v>
      </c>
      <c r="G26" s="18">
        <v>134</v>
      </c>
      <c r="H26" s="19">
        <v>507352900</v>
      </c>
      <c r="I26" s="18">
        <v>86462</v>
      </c>
      <c r="J26" s="18">
        <v>39721</v>
      </c>
      <c r="K26" s="16">
        <v>5475</v>
      </c>
      <c r="L26" s="16">
        <v>2.5299999999999998</v>
      </c>
      <c r="M26" s="13">
        <v>1194</v>
      </c>
      <c r="N26" s="13">
        <v>295</v>
      </c>
      <c r="O26" s="13">
        <v>8494</v>
      </c>
      <c r="P26" s="20">
        <v>1</v>
      </c>
      <c r="Q26" s="21">
        <v>2</v>
      </c>
      <c r="R26" s="22">
        <v>4</v>
      </c>
      <c r="S26" s="23">
        <v>7</v>
      </c>
      <c r="T26" s="24">
        <v>11.42</v>
      </c>
      <c r="U26" s="24">
        <v>0.16</v>
      </c>
      <c r="V26" s="24">
        <v>0.23</v>
      </c>
      <c r="W26" s="25">
        <v>630</v>
      </c>
      <c r="X26" s="24">
        <v>2.3E-2</v>
      </c>
      <c r="Y26" s="24">
        <v>0.34</v>
      </c>
      <c r="Z26" s="24">
        <v>6.2E-2</v>
      </c>
      <c r="AA26" s="24">
        <v>8.9999999999999993E-3</v>
      </c>
      <c r="AB26" s="24">
        <v>0.65</v>
      </c>
      <c r="AC26" s="25">
        <v>4628</v>
      </c>
      <c r="AD26" s="24">
        <v>0.91</v>
      </c>
      <c r="AE26" s="24">
        <v>7.0000000000000007E-2</v>
      </c>
      <c r="AF26" s="24">
        <v>0.26</v>
      </c>
      <c r="AG26" s="24">
        <v>3.83</v>
      </c>
      <c r="AH26" s="16">
        <v>12733780</v>
      </c>
      <c r="AI26" s="16">
        <v>7350944</v>
      </c>
      <c r="AJ26" s="16">
        <v>9730000</v>
      </c>
      <c r="AK26" s="16">
        <v>0</v>
      </c>
      <c r="AL26" s="16">
        <v>0</v>
      </c>
      <c r="AM26" s="16">
        <v>0</v>
      </c>
      <c r="AN26" s="16">
        <v>29807214</v>
      </c>
      <c r="AO26" s="13" t="s">
        <v>52</v>
      </c>
      <c r="AP26" s="16">
        <v>2024</v>
      </c>
      <c r="AQ26" s="16">
        <v>1</v>
      </c>
      <c r="AR26" s="16">
        <v>1</v>
      </c>
      <c r="AS26" s="16">
        <v>0</v>
      </c>
      <c r="AT26" s="16">
        <v>0</v>
      </c>
      <c r="AU26" s="16">
        <v>1</v>
      </c>
      <c r="AV26" s="16">
        <v>0</v>
      </c>
      <c r="AW26" s="16"/>
      <c r="AX26" s="13">
        <f t="shared" si="0"/>
        <v>2</v>
      </c>
      <c r="AY26" s="13" t="s">
        <v>56</v>
      </c>
      <c r="AZ26" s="13" t="s">
        <v>105</v>
      </c>
    </row>
    <row r="27" spans="1:52" ht="14.25" customHeight="1" x14ac:dyDescent="0.3">
      <c r="A27" s="16" t="s">
        <v>106</v>
      </c>
      <c r="B27" s="26">
        <v>89321</v>
      </c>
      <c r="C27" s="16">
        <v>34.5</v>
      </c>
      <c r="D27" s="18">
        <v>13622</v>
      </c>
      <c r="E27" s="18">
        <v>7168</v>
      </c>
      <c r="F27" s="18">
        <v>2674</v>
      </c>
      <c r="G27" s="18">
        <v>448</v>
      </c>
      <c r="H27" s="19">
        <v>2108720200</v>
      </c>
      <c r="I27" s="18">
        <v>53778</v>
      </c>
      <c r="J27" s="18">
        <v>24827</v>
      </c>
      <c r="K27" s="16">
        <v>31195</v>
      </c>
      <c r="L27" s="16">
        <v>2.8</v>
      </c>
      <c r="M27" s="13">
        <v>13178</v>
      </c>
      <c r="N27" s="13">
        <v>2477</v>
      </c>
      <c r="O27" s="13">
        <v>46346</v>
      </c>
      <c r="P27" s="20">
        <v>6</v>
      </c>
      <c r="Q27" s="21">
        <v>10</v>
      </c>
      <c r="R27" s="22">
        <v>9</v>
      </c>
      <c r="S27" s="23">
        <v>25</v>
      </c>
      <c r="T27" s="24">
        <v>1.32</v>
      </c>
      <c r="U27" s="24">
        <v>-0.12</v>
      </c>
      <c r="V27" s="24">
        <v>0.57999999999999996</v>
      </c>
      <c r="W27" s="25">
        <v>1145</v>
      </c>
      <c r="X27" s="24">
        <v>3.4000000000000002E-2</v>
      </c>
      <c r="Y27" s="24">
        <v>0.71</v>
      </c>
      <c r="Z27" s="24">
        <v>5.0999999999999997E-2</v>
      </c>
      <c r="AA27" s="24">
        <v>4.0000000000000001E-3</v>
      </c>
      <c r="AB27" s="24">
        <v>0.67</v>
      </c>
      <c r="AC27" s="25">
        <v>3978</v>
      </c>
      <c r="AD27" s="24">
        <v>0.74</v>
      </c>
      <c r="AE27" s="24">
        <v>0.19</v>
      </c>
      <c r="AF27" s="24">
        <v>0.64</v>
      </c>
      <c r="AG27" s="24">
        <v>1.56</v>
      </c>
      <c r="AH27" s="16">
        <v>72811149</v>
      </c>
      <c r="AI27" s="16">
        <v>57511185</v>
      </c>
      <c r="AJ27" s="16">
        <v>94699268</v>
      </c>
      <c r="AK27" s="16">
        <v>35227318</v>
      </c>
      <c r="AL27" s="16">
        <v>0</v>
      </c>
      <c r="AM27" s="16">
        <v>0</v>
      </c>
      <c r="AN27" s="16">
        <v>451205019</v>
      </c>
      <c r="AO27" s="13" t="s">
        <v>52</v>
      </c>
      <c r="AP27" s="16">
        <v>2020</v>
      </c>
      <c r="AQ27" s="16">
        <v>1</v>
      </c>
      <c r="AR27" s="16">
        <v>1</v>
      </c>
      <c r="AS27" s="16">
        <v>0</v>
      </c>
      <c r="AT27" s="16">
        <v>0</v>
      </c>
      <c r="AU27" s="16">
        <v>0</v>
      </c>
      <c r="AV27" s="16">
        <v>2</v>
      </c>
      <c r="AW27" s="16" t="s">
        <v>107</v>
      </c>
      <c r="AX27" s="13">
        <f t="shared" si="0"/>
        <v>3</v>
      </c>
      <c r="AY27" s="13" t="s">
        <v>64</v>
      </c>
      <c r="AZ27" t="s">
        <v>101</v>
      </c>
    </row>
    <row r="28" spans="1:52" ht="14.25" customHeight="1" x14ac:dyDescent="0.3">
      <c r="A28" s="16" t="s">
        <v>108</v>
      </c>
      <c r="B28" s="26">
        <v>28170</v>
      </c>
      <c r="C28" s="16">
        <v>45.7</v>
      </c>
      <c r="D28" s="18">
        <v>667</v>
      </c>
      <c r="E28" s="18">
        <v>6028</v>
      </c>
      <c r="F28" s="18">
        <v>5660</v>
      </c>
      <c r="G28" s="18">
        <v>1126</v>
      </c>
      <c r="H28" s="19">
        <v>2601295000</v>
      </c>
      <c r="I28" s="18">
        <v>161765</v>
      </c>
      <c r="J28" s="18">
        <v>96523</v>
      </c>
      <c r="K28" s="16">
        <v>10398</v>
      </c>
      <c r="L28" s="16">
        <v>2.66</v>
      </c>
      <c r="M28" s="13">
        <v>805</v>
      </c>
      <c r="N28" s="13">
        <v>546</v>
      </c>
      <c r="O28" s="13">
        <v>12730</v>
      </c>
      <c r="P28" s="20">
        <v>5</v>
      </c>
      <c r="Q28" s="21">
        <v>11</v>
      </c>
      <c r="R28" s="22">
        <v>7</v>
      </c>
      <c r="S28" s="23">
        <v>23</v>
      </c>
      <c r="T28" s="24">
        <v>5.26</v>
      </c>
      <c r="U28" s="24">
        <v>0.41</v>
      </c>
      <c r="V28" s="24">
        <v>0.59</v>
      </c>
      <c r="W28" s="25">
        <v>2787</v>
      </c>
      <c r="X28" s="24">
        <v>6.0000000000000001E-3</v>
      </c>
      <c r="Y28" s="24">
        <v>0.82</v>
      </c>
      <c r="Z28" s="24">
        <v>3.4000000000000002E-2</v>
      </c>
      <c r="AA28" s="24">
        <v>3.0000000000000001E-3</v>
      </c>
      <c r="AB28" s="24">
        <v>0.73</v>
      </c>
      <c r="AC28" s="25">
        <v>8329</v>
      </c>
      <c r="AD28" s="24">
        <v>0.74</v>
      </c>
      <c r="AE28" s="24">
        <v>0.04</v>
      </c>
      <c r="AF28" s="24">
        <v>0.6</v>
      </c>
      <c r="AG28" s="24">
        <v>1.41</v>
      </c>
      <c r="AH28" s="16">
        <v>27524584</v>
      </c>
      <c r="AI28" s="16">
        <v>12928729</v>
      </c>
      <c r="AJ28" s="16">
        <v>106310000</v>
      </c>
      <c r="AK28" s="16">
        <v>0</v>
      </c>
      <c r="AL28" s="16">
        <v>0</v>
      </c>
      <c r="AM28" s="16">
        <v>13510534</v>
      </c>
      <c r="AN28" s="16">
        <v>191813179</v>
      </c>
      <c r="AO28" s="13" t="s">
        <v>52</v>
      </c>
      <c r="AP28" s="16">
        <v>2021</v>
      </c>
      <c r="AQ28" s="16">
        <v>1</v>
      </c>
      <c r="AR28" s="16">
        <v>1</v>
      </c>
      <c r="AS28" s="16">
        <v>0</v>
      </c>
      <c r="AT28" s="16">
        <v>1</v>
      </c>
      <c r="AU28" s="16">
        <v>1</v>
      </c>
      <c r="AV28" s="16">
        <v>2</v>
      </c>
      <c r="AW28" s="16" t="s">
        <v>109</v>
      </c>
      <c r="AX28" s="13">
        <f t="shared" si="0"/>
        <v>5</v>
      </c>
      <c r="AY28" s="13" t="s">
        <v>56</v>
      </c>
      <c r="AZ28" t="s">
        <v>110</v>
      </c>
    </row>
    <row r="29" spans="1:52" ht="14.25" customHeight="1" x14ac:dyDescent="0.3">
      <c r="AI29" s="48"/>
    </row>
    <row r="30" spans="1:52" ht="14.25" customHeight="1" x14ac:dyDescent="0.3">
      <c r="AI30" s="48"/>
    </row>
    <row r="31" spans="1:52" ht="14.25" customHeight="1" x14ac:dyDescent="0.3">
      <c r="AI31" s="48"/>
    </row>
    <row r="32" spans="1:52" ht="14.25" customHeight="1" x14ac:dyDescent="0.3">
      <c r="AI32" s="48"/>
    </row>
    <row r="33" spans="34:40" ht="14.25" customHeight="1" x14ac:dyDescent="0.3">
      <c r="AH33" s="44"/>
      <c r="AI33" s="48"/>
      <c r="AJ33" s="44"/>
      <c r="AK33" s="44"/>
      <c r="AL33" s="44"/>
      <c r="AM33" s="44"/>
      <c r="AN33" s="44"/>
    </row>
    <row r="34" spans="34:40" ht="14.25" customHeight="1" x14ac:dyDescent="0.3">
      <c r="AH34" s="44"/>
      <c r="AI34" s="48"/>
      <c r="AJ34" s="44"/>
      <c r="AK34" s="44"/>
      <c r="AL34" s="44"/>
      <c r="AM34" s="44"/>
      <c r="AN34" s="44"/>
    </row>
    <row r="35" spans="34:40" ht="14.25" customHeight="1" x14ac:dyDescent="0.3">
      <c r="AH35" s="44"/>
      <c r="AI35" s="48"/>
      <c r="AJ35" s="44"/>
      <c r="AK35" s="44"/>
      <c r="AL35" s="44"/>
      <c r="AM35" s="44"/>
      <c r="AN35" s="44"/>
    </row>
    <row r="36" spans="34:40" ht="14.25" customHeight="1" x14ac:dyDescent="0.3">
      <c r="AH36" s="44"/>
      <c r="AI36" s="48"/>
      <c r="AJ36" s="44"/>
      <c r="AK36" s="44"/>
      <c r="AL36" s="44"/>
      <c r="AM36" s="44"/>
      <c r="AN36" s="44"/>
    </row>
    <row r="37" spans="34:40" ht="14.25" customHeight="1" x14ac:dyDescent="0.3">
      <c r="AH37" s="44"/>
      <c r="AI37" s="48"/>
      <c r="AJ37" s="44"/>
      <c r="AK37" s="44"/>
      <c r="AL37" s="44"/>
      <c r="AM37" s="44"/>
      <c r="AN37" s="44"/>
    </row>
    <row r="38" spans="34:40" ht="14.25" customHeight="1" x14ac:dyDescent="0.3">
      <c r="AH38" s="44"/>
      <c r="AI38" s="48"/>
      <c r="AJ38" s="44"/>
      <c r="AK38" s="44"/>
      <c r="AL38" s="44"/>
      <c r="AM38" s="44"/>
      <c r="AN38" s="44"/>
    </row>
    <row r="39" spans="34:40" ht="14.25" customHeight="1" x14ac:dyDescent="0.3">
      <c r="AH39" s="44"/>
      <c r="AI39" s="49"/>
      <c r="AJ39" s="44"/>
      <c r="AK39" s="44"/>
      <c r="AL39" s="44"/>
      <c r="AM39" s="44"/>
      <c r="AN39" s="44"/>
    </row>
    <row r="40" spans="34:40" ht="14.25" customHeight="1" x14ac:dyDescent="0.3">
      <c r="AH40" s="44"/>
      <c r="AI40" s="49"/>
      <c r="AJ40" s="44"/>
      <c r="AK40" s="44"/>
      <c r="AL40" s="44"/>
      <c r="AM40" s="44"/>
      <c r="AN40" s="44"/>
    </row>
    <row r="41" spans="34:40" ht="14.25" customHeight="1" x14ac:dyDescent="0.3">
      <c r="AH41" s="44"/>
      <c r="AI41" s="49"/>
      <c r="AJ41" s="44"/>
      <c r="AK41" s="44"/>
      <c r="AL41" s="44"/>
      <c r="AM41" s="44"/>
      <c r="AN41" s="44"/>
    </row>
    <row r="42" spans="34:40" ht="14.25" customHeight="1" x14ac:dyDescent="0.3">
      <c r="AH42" s="44"/>
      <c r="AI42" s="49"/>
      <c r="AJ42" s="44"/>
      <c r="AK42" s="44"/>
      <c r="AL42" s="44"/>
      <c r="AM42" s="44"/>
      <c r="AN42" s="44"/>
    </row>
    <row r="43" spans="34:40" ht="14.25" customHeight="1" x14ac:dyDescent="0.3">
      <c r="AH43" s="44"/>
      <c r="AI43" s="49"/>
      <c r="AJ43" s="44"/>
      <c r="AK43" s="44"/>
      <c r="AL43" s="44"/>
      <c r="AM43" s="44"/>
      <c r="AN43" s="44"/>
    </row>
    <row r="44" spans="34:40" ht="14.25" customHeight="1" x14ac:dyDescent="0.3">
      <c r="AH44" s="44"/>
      <c r="AI44" s="49"/>
      <c r="AJ44" s="44"/>
      <c r="AK44" s="44"/>
      <c r="AL44" s="44"/>
      <c r="AM44" s="44"/>
      <c r="AN44" s="44"/>
    </row>
    <row r="45" spans="34:40" ht="14.25" customHeight="1" x14ac:dyDescent="0.3">
      <c r="AH45" s="44"/>
      <c r="AI45" s="49"/>
      <c r="AJ45" s="44"/>
      <c r="AK45" s="44"/>
      <c r="AL45" s="44"/>
      <c r="AM45" s="44"/>
      <c r="AN45" s="44"/>
    </row>
    <row r="46" spans="34:40" ht="14.25" customHeight="1" x14ac:dyDescent="0.3">
      <c r="AH46" s="44"/>
      <c r="AI46" s="49"/>
      <c r="AJ46" s="44"/>
      <c r="AK46" s="44"/>
      <c r="AL46" s="44"/>
      <c r="AM46" s="44"/>
      <c r="AN46" s="44"/>
    </row>
    <row r="47" spans="34:40" ht="14.25" customHeight="1" x14ac:dyDescent="0.3">
      <c r="AH47" s="44"/>
      <c r="AI47" s="49"/>
      <c r="AJ47" s="44"/>
      <c r="AK47" s="44"/>
      <c r="AL47" s="44"/>
      <c r="AM47" s="44"/>
      <c r="AN47" s="44"/>
    </row>
    <row r="48" spans="34:40" ht="14.25" customHeight="1" x14ac:dyDescent="0.3">
      <c r="AH48" s="44"/>
      <c r="AI48" s="49"/>
      <c r="AJ48" s="44"/>
      <c r="AK48" s="44"/>
      <c r="AL48" s="44"/>
      <c r="AM48" s="44"/>
      <c r="AN48" s="44"/>
    </row>
    <row r="49" spans="34:40" ht="14.25" customHeight="1" x14ac:dyDescent="0.3">
      <c r="AH49" s="44"/>
      <c r="AI49" s="49"/>
      <c r="AJ49" s="44"/>
      <c r="AK49" s="44"/>
      <c r="AL49" s="44"/>
      <c r="AM49" s="44"/>
      <c r="AN49" s="44"/>
    </row>
    <row r="50" spans="34:40" ht="14.25" customHeight="1" x14ac:dyDescent="0.3">
      <c r="AH50" s="44"/>
      <c r="AI50" s="49"/>
      <c r="AJ50" s="44"/>
      <c r="AK50" s="44"/>
      <c r="AL50" s="44"/>
      <c r="AM50" s="44"/>
      <c r="AN50" s="44"/>
    </row>
    <row r="51" spans="34:40" ht="14.25" customHeight="1" x14ac:dyDescent="0.3">
      <c r="AH51" s="44"/>
      <c r="AI51" s="49"/>
      <c r="AJ51" s="44"/>
      <c r="AK51" s="44"/>
      <c r="AL51" s="44"/>
      <c r="AM51" s="44"/>
      <c r="AN51" s="44"/>
    </row>
    <row r="52" spans="34:40" ht="14.25" customHeight="1" x14ac:dyDescent="0.3">
      <c r="AH52" s="44"/>
      <c r="AI52" s="49"/>
      <c r="AJ52" s="44"/>
      <c r="AK52" s="44"/>
      <c r="AL52" s="44"/>
      <c r="AM52" s="44"/>
      <c r="AN52" s="44"/>
    </row>
    <row r="53" spans="34:40" ht="14.25" customHeight="1" x14ac:dyDescent="0.3">
      <c r="AH53" s="44"/>
      <c r="AI53" s="49"/>
      <c r="AJ53" s="44"/>
      <c r="AK53" s="44"/>
      <c r="AL53" s="44"/>
      <c r="AM53" s="44"/>
      <c r="AN53" s="44"/>
    </row>
    <row r="54" spans="34:40" ht="14.25" customHeight="1" x14ac:dyDescent="0.3">
      <c r="AH54" s="44"/>
      <c r="AI54" s="49"/>
      <c r="AJ54" s="44"/>
      <c r="AK54" s="44"/>
      <c r="AL54" s="44"/>
      <c r="AM54" s="44"/>
      <c r="AN54" s="44"/>
    </row>
    <row r="55" spans="34:40" ht="14.25" customHeight="1" x14ac:dyDescent="0.3">
      <c r="AH55" s="44"/>
      <c r="AI55" s="49"/>
      <c r="AJ55" s="44"/>
      <c r="AK55" s="44"/>
      <c r="AL55" s="44"/>
      <c r="AM55" s="44"/>
      <c r="AN55" s="44"/>
    </row>
    <row r="56" spans="34:40" ht="14.25" customHeight="1" x14ac:dyDescent="0.3">
      <c r="AH56" s="44"/>
      <c r="AI56" s="49"/>
      <c r="AJ56" s="44"/>
      <c r="AK56" s="44"/>
      <c r="AL56" s="44"/>
      <c r="AM56" s="44"/>
      <c r="AN56" s="44"/>
    </row>
    <row r="57" spans="34:40" ht="14.25" customHeight="1" x14ac:dyDescent="0.3">
      <c r="AH57" s="44"/>
      <c r="AI57" s="49"/>
      <c r="AJ57" s="44"/>
      <c r="AK57" s="44"/>
      <c r="AL57" s="44"/>
      <c r="AM57" s="44"/>
      <c r="AN57" s="44"/>
    </row>
    <row r="58" spans="34:40" ht="14.25" customHeight="1" x14ac:dyDescent="0.3">
      <c r="AH58" s="44"/>
      <c r="AI58" s="49"/>
      <c r="AJ58" s="44"/>
      <c r="AK58" s="44"/>
      <c r="AL58" s="44"/>
      <c r="AM58" s="44"/>
      <c r="AN58" s="44"/>
    </row>
    <row r="59" spans="34:40" ht="14.25" customHeight="1" x14ac:dyDescent="0.3">
      <c r="AH59" s="44"/>
      <c r="AI59" s="49"/>
      <c r="AJ59" s="44"/>
      <c r="AK59" s="44"/>
      <c r="AL59" s="44"/>
      <c r="AM59" s="44"/>
      <c r="AN59" s="44"/>
    </row>
    <row r="60" spans="34:40" ht="14.25" customHeight="1" x14ac:dyDescent="0.3">
      <c r="AH60" s="44"/>
      <c r="AI60" s="49"/>
      <c r="AJ60" s="44"/>
      <c r="AK60" s="44"/>
      <c r="AL60" s="44"/>
      <c r="AM60" s="44"/>
      <c r="AN60" s="44"/>
    </row>
    <row r="61" spans="34:40" ht="14.25" customHeight="1" x14ac:dyDescent="0.3">
      <c r="AH61" s="44"/>
      <c r="AI61" s="49"/>
      <c r="AJ61" s="44"/>
      <c r="AK61" s="44"/>
      <c r="AL61" s="44"/>
      <c r="AM61" s="44"/>
      <c r="AN61" s="44"/>
    </row>
    <row r="62" spans="34:40" ht="14.25" customHeight="1" x14ac:dyDescent="0.3">
      <c r="AH62" s="44"/>
      <c r="AI62" s="49"/>
      <c r="AJ62" s="44"/>
      <c r="AK62" s="44"/>
      <c r="AL62" s="44"/>
      <c r="AM62" s="44"/>
      <c r="AN62" s="44"/>
    </row>
    <row r="63" spans="34:40" ht="14.25" customHeight="1" x14ac:dyDescent="0.3">
      <c r="AH63" s="44"/>
      <c r="AI63" s="49"/>
      <c r="AJ63" s="44"/>
      <c r="AK63" s="44"/>
      <c r="AL63" s="44"/>
      <c r="AM63" s="44"/>
      <c r="AN63" s="44"/>
    </row>
    <row r="64" spans="34:40" ht="14.25" customHeight="1" x14ac:dyDescent="0.3">
      <c r="AH64" s="44"/>
      <c r="AI64" s="49"/>
      <c r="AJ64" s="44"/>
      <c r="AK64" s="44"/>
      <c r="AL64" s="44"/>
      <c r="AM64" s="44"/>
      <c r="AN64" s="44"/>
    </row>
    <row r="65" spans="34:40" ht="14.25" customHeight="1" x14ac:dyDescent="0.3">
      <c r="AH65" s="44"/>
      <c r="AI65" s="49"/>
      <c r="AJ65" s="44"/>
      <c r="AK65" s="44"/>
      <c r="AL65" s="44"/>
      <c r="AM65" s="44"/>
      <c r="AN65" s="44"/>
    </row>
    <row r="66" spans="34:40" ht="14.25" customHeight="1" x14ac:dyDescent="0.3">
      <c r="AH66" s="44"/>
      <c r="AI66" s="49"/>
      <c r="AJ66" s="44"/>
      <c r="AK66" s="44"/>
      <c r="AL66" s="44"/>
      <c r="AM66" s="44"/>
      <c r="AN66" s="44"/>
    </row>
    <row r="67" spans="34:40" ht="14.25" customHeight="1" x14ac:dyDescent="0.3">
      <c r="AH67" s="44"/>
      <c r="AI67" s="49"/>
      <c r="AJ67" s="44"/>
      <c r="AK67" s="44"/>
      <c r="AL67" s="44"/>
      <c r="AM67" s="44"/>
      <c r="AN67" s="44"/>
    </row>
    <row r="68" spans="34:40" ht="14.25" customHeight="1" x14ac:dyDescent="0.3">
      <c r="AH68" s="44"/>
      <c r="AI68" s="49"/>
      <c r="AJ68" s="44"/>
      <c r="AK68" s="44"/>
      <c r="AL68" s="44"/>
      <c r="AM68" s="44"/>
      <c r="AN68" s="44"/>
    </row>
    <row r="69" spans="34:40" ht="14.25" customHeight="1" x14ac:dyDescent="0.3">
      <c r="AH69" s="44"/>
      <c r="AI69" s="49"/>
      <c r="AJ69" s="44"/>
      <c r="AK69" s="44"/>
      <c r="AL69" s="44"/>
      <c r="AM69" s="44"/>
      <c r="AN69" s="44"/>
    </row>
    <row r="70" spans="34:40" ht="14.25" customHeight="1" x14ac:dyDescent="0.3">
      <c r="AH70" s="44"/>
      <c r="AI70" s="49"/>
      <c r="AJ70" s="44"/>
      <c r="AK70" s="44"/>
      <c r="AL70" s="44"/>
      <c r="AM70" s="44"/>
      <c r="AN70" s="44"/>
    </row>
    <row r="71" spans="34:40" ht="14.25" customHeight="1" x14ac:dyDescent="0.3">
      <c r="AH71" s="44"/>
      <c r="AI71" s="49"/>
      <c r="AJ71" s="44"/>
      <c r="AK71" s="44"/>
      <c r="AL71" s="44"/>
      <c r="AM71" s="44"/>
      <c r="AN71" s="44"/>
    </row>
    <row r="72" spans="34:40" ht="14.25" customHeight="1" x14ac:dyDescent="0.3">
      <c r="AH72" s="44"/>
      <c r="AI72" s="49"/>
      <c r="AJ72" s="44"/>
      <c r="AK72" s="44"/>
      <c r="AL72" s="44"/>
      <c r="AM72" s="44"/>
      <c r="AN72" s="44"/>
    </row>
    <row r="73" spans="34:40" ht="14.25" customHeight="1" x14ac:dyDescent="0.3">
      <c r="AH73" s="44"/>
      <c r="AI73" s="49"/>
      <c r="AJ73" s="44"/>
      <c r="AK73" s="44"/>
      <c r="AL73" s="44"/>
      <c r="AM73" s="44"/>
      <c r="AN73" s="44"/>
    </row>
    <row r="74" spans="34:40" ht="14.25" customHeight="1" x14ac:dyDescent="0.3">
      <c r="AH74" s="44"/>
      <c r="AI74" s="49"/>
      <c r="AJ74" s="44"/>
      <c r="AK74" s="44"/>
      <c r="AL74" s="44"/>
      <c r="AM74" s="44"/>
      <c r="AN74" s="44"/>
    </row>
    <row r="75" spans="34:40" ht="14.25" customHeight="1" x14ac:dyDescent="0.3">
      <c r="AH75" s="44"/>
      <c r="AI75" s="49"/>
      <c r="AJ75" s="44"/>
      <c r="AK75" s="44"/>
      <c r="AL75" s="44"/>
      <c r="AM75" s="44"/>
      <c r="AN75" s="44"/>
    </row>
    <row r="76" spans="34:40" ht="14.25" customHeight="1" x14ac:dyDescent="0.3">
      <c r="AH76" s="44"/>
      <c r="AI76" s="49"/>
      <c r="AJ76" s="44"/>
      <c r="AK76" s="44"/>
      <c r="AL76" s="44"/>
      <c r="AM76" s="44"/>
      <c r="AN76" s="44"/>
    </row>
    <row r="77" spans="34:40" ht="14.25" customHeight="1" x14ac:dyDescent="0.3">
      <c r="AH77" s="44"/>
      <c r="AI77" s="49"/>
      <c r="AJ77" s="44"/>
      <c r="AK77" s="44"/>
      <c r="AL77" s="44"/>
      <c r="AM77" s="44"/>
      <c r="AN77" s="44"/>
    </row>
    <row r="78" spans="34:40" ht="14.25" customHeight="1" x14ac:dyDescent="0.3">
      <c r="AH78" s="44"/>
      <c r="AI78" s="49"/>
      <c r="AJ78" s="44"/>
      <c r="AK78" s="44"/>
      <c r="AL78" s="44"/>
      <c r="AM78" s="44"/>
      <c r="AN78" s="44"/>
    </row>
    <row r="79" spans="34:40" ht="14.25" customHeight="1" x14ac:dyDescent="0.3">
      <c r="AH79" s="44"/>
      <c r="AI79" s="49"/>
      <c r="AJ79" s="44"/>
      <c r="AK79" s="44"/>
      <c r="AL79" s="44"/>
      <c r="AM79" s="44"/>
      <c r="AN79" s="44"/>
    </row>
    <row r="80" spans="34:40" ht="14.25" customHeight="1" x14ac:dyDescent="0.3">
      <c r="AH80" s="44"/>
      <c r="AI80" s="49"/>
      <c r="AJ80" s="44"/>
      <c r="AK80" s="44"/>
      <c r="AL80" s="44"/>
      <c r="AM80" s="44"/>
      <c r="AN80" s="44"/>
    </row>
    <row r="81" spans="34:40" ht="14.25" customHeight="1" x14ac:dyDescent="0.3">
      <c r="AH81" s="44"/>
      <c r="AI81" s="49"/>
      <c r="AJ81" s="44"/>
      <c r="AK81" s="44"/>
      <c r="AL81" s="44"/>
      <c r="AM81" s="44"/>
      <c r="AN81" s="44"/>
    </row>
    <row r="82" spans="34:40" ht="14.25" customHeight="1" x14ac:dyDescent="0.3">
      <c r="AH82" s="44"/>
      <c r="AI82" s="49"/>
      <c r="AJ82" s="44"/>
      <c r="AK82" s="44"/>
      <c r="AL82" s="44"/>
      <c r="AM82" s="44"/>
      <c r="AN82" s="44"/>
    </row>
    <row r="83" spans="34:40" ht="14.25" customHeight="1" x14ac:dyDescent="0.3">
      <c r="AH83" s="44"/>
      <c r="AI83" s="49"/>
      <c r="AJ83" s="44"/>
      <c r="AK83" s="44"/>
      <c r="AL83" s="44"/>
      <c r="AM83" s="44"/>
      <c r="AN83" s="44"/>
    </row>
    <row r="84" spans="34:40" ht="14.25" customHeight="1" x14ac:dyDescent="0.3">
      <c r="AH84" s="44"/>
      <c r="AI84" s="49"/>
      <c r="AJ84" s="44"/>
      <c r="AK84" s="44"/>
      <c r="AL84" s="44"/>
      <c r="AM84" s="44"/>
      <c r="AN84" s="44"/>
    </row>
    <row r="85" spans="34:40" ht="14.25" customHeight="1" x14ac:dyDescent="0.3">
      <c r="AH85" s="44"/>
      <c r="AI85" s="49"/>
      <c r="AJ85" s="44"/>
      <c r="AK85" s="44"/>
      <c r="AL85" s="44"/>
      <c r="AM85" s="44"/>
      <c r="AN85" s="44"/>
    </row>
    <row r="86" spans="34:40" ht="14.25" customHeight="1" x14ac:dyDescent="0.3">
      <c r="AH86" s="44"/>
      <c r="AI86" s="49"/>
      <c r="AJ86" s="44"/>
      <c r="AK86" s="44"/>
      <c r="AL86" s="44"/>
      <c r="AM86" s="44"/>
      <c r="AN86" s="44"/>
    </row>
    <row r="87" spans="34:40" ht="14.25" customHeight="1" x14ac:dyDescent="0.3">
      <c r="AH87" s="44"/>
      <c r="AI87" s="49"/>
      <c r="AJ87" s="44"/>
      <c r="AK87" s="44"/>
      <c r="AL87" s="44"/>
      <c r="AM87" s="44"/>
      <c r="AN87" s="44"/>
    </row>
    <row r="88" spans="34:40" ht="14.25" customHeight="1" x14ac:dyDescent="0.3">
      <c r="AH88" s="44"/>
      <c r="AI88" s="49"/>
      <c r="AJ88" s="44"/>
      <c r="AK88" s="44"/>
      <c r="AL88" s="44"/>
      <c r="AM88" s="44"/>
      <c r="AN88" s="44"/>
    </row>
    <row r="89" spans="34:40" ht="14.25" customHeight="1" x14ac:dyDescent="0.3">
      <c r="AH89" s="44"/>
      <c r="AI89" s="49"/>
      <c r="AJ89" s="44"/>
      <c r="AK89" s="44"/>
      <c r="AL89" s="44"/>
      <c r="AM89" s="44"/>
      <c r="AN89" s="44"/>
    </row>
    <row r="90" spans="34:40" ht="14.25" customHeight="1" x14ac:dyDescent="0.3">
      <c r="AH90" s="44"/>
      <c r="AI90" s="49"/>
      <c r="AJ90" s="44"/>
      <c r="AK90" s="44"/>
      <c r="AL90" s="44"/>
      <c r="AM90" s="44"/>
      <c r="AN90" s="44"/>
    </row>
    <row r="91" spans="34:40" ht="14.25" customHeight="1" x14ac:dyDescent="0.3">
      <c r="AH91" s="44"/>
      <c r="AI91" s="49"/>
      <c r="AJ91" s="44"/>
      <c r="AK91" s="44"/>
      <c r="AL91" s="44"/>
      <c r="AM91" s="44"/>
      <c r="AN91" s="44"/>
    </row>
    <row r="92" spans="34:40" ht="14.25" customHeight="1" x14ac:dyDescent="0.3">
      <c r="AH92" s="44"/>
      <c r="AI92" s="49"/>
      <c r="AJ92" s="44"/>
      <c r="AK92" s="44"/>
      <c r="AL92" s="44"/>
      <c r="AM92" s="44"/>
      <c r="AN92" s="44"/>
    </row>
    <row r="93" spans="34:40" ht="14.25" customHeight="1" x14ac:dyDescent="0.3">
      <c r="AH93" s="44"/>
      <c r="AI93" s="49"/>
      <c r="AJ93" s="44"/>
      <c r="AK93" s="44"/>
      <c r="AL93" s="44"/>
      <c r="AM93" s="44"/>
      <c r="AN93" s="44"/>
    </row>
    <row r="94" spans="34:40" ht="14.25" customHeight="1" x14ac:dyDescent="0.3">
      <c r="AH94" s="44"/>
      <c r="AI94" s="49"/>
      <c r="AJ94" s="44"/>
      <c r="AK94" s="44"/>
      <c r="AL94" s="44"/>
      <c r="AM94" s="44"/>
      <c r="AN94" s="44"/>
    </row>
    <row r="95" spans="34:40" ht="14.25" customHeight="1" x14ac:dyDescent="0.3">
      <c r="AH95" s="44"/>
      <c r="AI95" s="49"/>
      <c r="AJ95" s="44"/>
      <c r="AK95" s="44"/>
      <c r="AL95" s="44"/>
      <c r="AM95" s="44"/>
      <c r="AN95" s="44"/>
    </row>
    <row r="96" spans="34:40" ht="14.25" customHeight="1" x14ac:dyDescent="0.3">
      <c r="AH96" s="44"/>
      <c r="AI96" s="49"/>
      <c r="AJ96" s="44"/>
      <c r="AK96" s="44"/>
      <c r="AL96" s="44"/>
      <c r="AM96" s="44"/>
      <c r="AN96" s="44"/>
    </row>
    <row r="97" spans="34:40" ht="14.25" customHeight="1" x14ac:dyDescent="0.3">
      <c r="AH97" s="44"/>
      <c r="AI97" s="49"/>
      <c r="AJ97" s="44"/>
      <c r="AK97" s="44"/>
      <c r="AL97" s="44"/>
      <c r="AM97" s="44"/>
      <c r="AN97" s="44"/>
    </row>
    <row r="98" spans="34:40" ht="14.25" customHeight="1" x14ac:dyDescent="0.3">
      <c r="AH98" s="44"/>
      <c r="AI98" s="49"/>
      <c r="AJ98" s="44"/>
      <c r="AK98" s="44"/>
      <c r="AL98" s="44"/>
      <c r="AM98" s="44"/>
      <c r="AN98" s="44"/>
    </row>
    <row r="99" spans="34:40" ht="14.25" customHeight="1" x14ac:dyDescent="0.3">
      <c r="AH99" s="44"/>
      <c r="AI99" s="49"/>
      <c r="AJ99" s="44"/>
      <c r="AK99" s="44"/>
      <c r="AL99" s="44"/>
      <c r="AM99" s="44"/>
      <c r="AN99" s="44"/>
    </row>
    <row r="100" spans="34:40" ht="14.25" customHeight="1" x14ac:dyDescent="0.3">
      <c r="AH100" s="44"/>
      <c r="AI100" s="49"/>
      <c r="AJ100" s="44"/>
      <c r="AK100" s="44"/>
      <c r="AL100" s="44"/>
      <c r="AM100" s="44"/>
      <c r="AN100" s="44"/>
    </row>
    <row r="101" spans="34:40" ht="14.25" customHeight="1" x14ac:dyDescent="0.3">
      <c r="AH101" s="44"/>
      <c r="AI101" s="49"/>
      <c r="AJ101" s="44"/>
      <c r="AK101" s="44"/>
      <c r="AL101" s="44"/>
      <c r="AM101" s="44"/>
      <c r="AN101" s="44"/>
    </row>
    <row r="102" spans="34:40" ht="14.25" customHeight="1" x14ac:dyDescent="0.3">
      <c r="AH102" s="44"/>
      <c r="AI102" s="49"/>
      <c r="AJ102" s="44"/>
      <c r="AK102" s="44"/>
      <c r="AL102" s="44"/>
      <c r="AM102" s="44"/>
      <c r="AN102" s="44"/>
    </row>
    <row r="103" spans="34:40" ht="14.25" customHeight="1" x14ac:dyDescent="0.3">
      <c r="AH103" s="44"/>
      <c r="AI103" s="49"/>
      <c r="AJ103" s="44"/>
      <c r="AK103" s="44"/>
      <c r="AL103" s="44"/>
      <c r="AM103" s="44"/>
      <c r="AN103" s="44"/>
    </row>
    <row r="104" spans="34:40" ht="14.25" customHeight="1" x14ac:dyDescent="0.3">
      <c r="AH104" s="44"/>
      <c r="AI104" s="49"/>
      <c r="AJ104" s="44"/>
      <c r="AK104" s="44"/>
      <c r="AL104" s="44"/>
      <c r="AM104" s="44"/>
      <c r="AN104" s="44"/>
    </row>
    <row r="105" spans="34:40" ht="14.25" customHeight="1" x14ac:dyDescent="0.3">
      <c r="AH105" s="44"/>
      <c r="AI105" s="49"/>
      <c r="AJ105" s="44"/>
      <c r="AK105" s="44"/>
      <c r="AL105" s="44"/>
      <c r="AM105" s="44"/>
      <c r="AN105" s="44"/>
    </row>
    <row r="106" spans="34:40" ht="14.25" customHeight="1" x14ac:dyDescent="0.3">
      <c r="AH106" s="44"/>
      <c r="AI106" s="49"/>
      <c r="AJ106" s="44"/>
      <c r="AK106" s="44"/>
      <c r="AL106" s="44"/>
      <c r="AM106" s="44"/>
      <c r="AN106" s="44"/>
    </row>
    <row r="107" spans="34:40" ht="14.25" customHeight="1" x14ac:dyDescent="0.3">
      <c r="AH107" s="44"/>
      <c r="AI107" s="49"/>
      <c r="AJ107" s="44"/>
      <c r="AK107" s="44"/>
      <c r="AL107" s="44"/>
      <c r="AM107" s="44"/>
      <c r="AN107" s="44"/>
    </row>
    <row r="108" spans="34:40" ht="14.25" customHeight="1" x14ac:dyDescent="0.3">
      <c r="AH108" s="44"/>
      <c r="AI108" s="49"/>
      <c r="AJ108" s="44"/>
      <c r="AK108" s="44"/>
      <c r="AL108" s="44"/>
      <c r="AM108" s="44"/>
      <c r="AN108" s="44"/>
    </row>
    <row r="109" spans="34:40" ht="14.25" customHeight="1" x14ac:dyDescent="0.3">
      <c r="AH109" s="44"/>
      <c r="AI109" s="49"/>
      <c r="AJ109" s="44"/>
      <c r="AK109" s="44"/>
      <c r="AL109" s="44"/>
      <c r="AM109" s="44"/>
      <c r="AN109" s="44"/>
    </row>
    <row r="110" spans="34:40" ht="14.25" customHeight="1" x14ac:dyDescent="0.3">
      <c r="AH110" s="44"/>
      <c r="AI110" s="49"/>
      <c r="AJ110" s="44"/>
      <c r="AK110" s="44"/>
      <c r="AL110" s="44"/>
      <c r="AM110" s="44"/>
      <c r="AN110" s="44"/>
    </row>
    <row r="111" spans="34:40" ht="14.25" customHeight="1" x14ac:dyDescent="0.3">
      <c r="AH111" s="44"/>
      <c r="AI111" s="49"/>
      <c r="AJ111" s="44"/>
      <c r="AK111" s="44"/>
      <c r="AL111" s="44"/>
      <c r="AM111" s="44"/>
      <c r="AN111" s="44"/>
    </row>
    <row r="112" spans="34:40" ht="14.25" customHeight="1" x14ac:dyDescent="0.3">
      <c r="AH112" s="44"/>
      <c r="AI112" s="49"/>
      <c r="AJ112" s="44"/>
      <c r="AK112" s="44"/>
      <c r="AL112" s="44"/>
      <c r="AM112" s="44"/>
      <c r="AN112" s="44"/>
    </row>
    <row r="113" spans="34:40" ht="14.25" customHeight="1" x14ac:dyDescent="0.3">
      <c r="AH113" s="44"/>
      <c r="AI113" s="49"/>
      <c r="AJ113" s="44"/>
      <c r="AK113" s="44"/>
      <c r="AL113" s="44"/>
      <c r="AM113" s="44"/>
      <c r="AN113" s="44"/>
    </row>
    <row r="114" spans="34:40" ht="14.25" customHeight="1" x14ac:dyDescent="0.3">
      <c r="AH114" s="44"/>
      <c r="AI114" s="49"/>
      <c r="AJ114" s="44"/>
      <c r="AK114" s="44"/>
      <c r="AL114" s="44"/>
      <c r="AM114" s="44"/>
      <c r="AN114" s="44"/>
    </row>
    <row r="115" spans="34:40" ht="14.25" customHeight="1" x14ac:dyDescent="0.3">
      <c r="AH115" s="44"/>
      <c r="AI115" s="49"/>
      <c r="AJ115" s="44"/>
      <c r="AK115" s="44"/>
      <c r="AL115" s="44"/>
      <c r="AM115" s="44"/>
      <c r="AN115" s="44"/>
    </row>
    <row r="116" spans="34:40" ht="14.25" customHeight="1" x14ac:dyDescent="0.3">
      <c r="AH116" s="44"/>
      <c r="AI116" s="49"/>
      <c r="AJ116" s="44"/>
      <c r="AK116" s="44"/>
      <c r="AL116" s="44"/>
      <c r="AM116" s="44"/>
      <c r="AN116" s="44"/>
    </row>
    <row r="117" spans="34:40" ht="14.25" customHeight="1" x14ac:dyDescent="0.3">
      <c r="AH117" s="44"/>
      <c r="AI117" s="49"/>
      <c r="AJ117" s="44"/>
      <c r="AK117" s="44"/>
      <c r="AL117" s="44"/>
      <c r="AM117" s="44"/>
      <c r="AN117" s="44"/>
    </row>
    <row r="118" spans="34:40" ht="14.25" customHeight="1" x14ac:dyDescent="0.3">
      <c r="AH118" s="44"/>
      <c r="AI118" s="49"/>
      <c r="AJ118" s="44"/>
      <c r="AK118" s="44"/>
      <c r="AL118" s="44"/>
      <c r="AM118" s="44"/>
      <c r="AN118" s="44"/>
    </row>
    <row r="119" spans="34:40" ht="14.25" customHeight="1" x14ac:dyDescent="0.3">
      <c r="AH119" s="44"/>
      <c r="AI119" s="49"/>
      <c r="AJ119" s="44"/>
      <c r="AK119" s="44"/>
      <c r="AL119" s="44"/>
      <c r="AM119" s="44"/>
      <c r="AN119" s="44"/>
    </row>
    <row r="120" spans="34:40" ht="14.25" customHeight="1" x14ac:dyDescent="0.3">
      <c r="AH120" s="44"/>
      <c r="AI120" s="49"/>
      <c r="AJ120" s="44"/>
      <c r="AK120" s="44"/>
      <c r="AL120" s="44"/>
      <c r="AM120" s="44"/>
      <c r="AN120" s="44"/>
    </row>
    <row r="121" spans="34:40" ht="14.25" customHeight="1" x14ac:dyDescent="0.3">
      <c r="AH121" s="44"/>
      <c r="AI121" s="49"/>
      <c r="AJ121" s="44"/>
      <c r="AK121" s="44"/>
      <c r="AL121" s="44"/>
      <c r="AM121" s="44"/>
      <c r="AN121" s="44"/>
    </row>
    <row r="122" spans="34:40" ht="14.25" customHeight="1" x14ac:dyDescent="0.3">
      <c r="AH122" s="44"/>
      <c r="AI122" s="49"/>
      <c r="AJ122" s="44"/>
      <c r="AK122" s="44"/>
      <c r="AL122" s="44"/>
      <c r="AM122" s="44"/>
      <c r="AN122" s="44"/>
    </row>
    <row r="123" spans="34:40" ht="14.25" customHeight="1" x14ac:dyDescent="0.3">
      <c r="AH123" s="44"/>
      <c r="AI123" s="49"/>
      <c r="AJ123" s="44"/>
      <c r="AK123" s="44"/>
      <c r="AL123" s="44"/>
      <c r="AM123" s="44"/>
      <c r="AN123" s="44"/>
    </row>
    <row r="124" spans="34:40" ht="14.25" customHeight="1" x14ac:dyDescent="0.3">
      <c r="AH124" s="44"/>
      <c r="AI124" s="49"/>
      <c r="AJ124" s="44"/>
      <c r="AK124" s="44"/>
      <c r="AL124" s="44"/>
      <c r="AM124" s="44"/>
      <c r="AN124" s="44"/>
    </row>
    <row r="125" spans="34:40" ht="14.25" customHeight="1" x14ac:dyDescent="0.3">
      <c r="AH125" s="44"/>
      <c r="AI125" s="49"/>
      <c r="AJ125" s="44"/>
      <c r="AK125" s="44"/>
      <c r="AL125" s="44"/>
      <c r="AM125" s="44"/>
      <c r="AN125" s="44"/>
    </row>
    <row r="126" spans="34:40" ht="14.25" customHeight="1" x14ac:dyDescent="0.3">
      <c r="AH126" s="44"/>
      <c r="AI126" s="49"/>
      <c r="AJ126" s="44"/>
      <c r="AK126" s="44"/>
      <c r="AL126" s="44"/>
      <c r="AM126" s="44"/>
      <c r="AN126" s="44"/>
    </row>
    <row r="127" spans="34:40" ht="14.25" customHeight="1" x14ac:dyDescent="0.3">
      <c r="AH127" s="44"/>
      <c r="AI127" s="49"/>
      <c r="AJ127" s="44"/>
      <c r="AK127" s="44"/>
      <c r="AL127" s="44"/>
      <c r="AM127" s="44"/>
      <c r="AN127" s="44"/>
    </row>
    <row r="128" spans="34:40" ht="14.25" customHeight="1" x14ac:dyDescent="0.3">
      <c r="AH128" s="44"/>
      <c r="AI128" s="49"/>
      <c r="AJ128" s="44"/>
      <c r="AK128" s="44"/>
      <c r="AL128" s="44"/>
      <c r="AM128" s="44"/>
      <c r="AN128" s="44"/>
    </row>
    <row r="129" spans="34:40" ht="14.25" customHeight="1" x14ac:dyDescent="0.3">
      <c r="AH129" s="44"/>
      <c r="AI129" s="49"/>
      <c r="AJ129" s="44"/>
      <c r="AK129" s="44"/>
      <c r="AL129" s="44"/>
      <c r="AM129" s="44"/>
      <c r="AN129" s="44"/>
    </row>
    <row r="130" spans="34:40" ht="14.25" customHeight="1" x14ac:dyDescent="0.3">
      <c r="AH130" s="44"/>
      <c r="AI130" s="49"/>
      <c r="AJ130" s="44"/>
      <c r="AK130" s="44"/>
      <c r="AL130" s="44"/>
      <c r="AM130" s="44"/>
      <c r="AN130" s="44"/>
    </row>
    <row r="131" spans="34:40" ht="14.25" customHeight="1" x14ac:dyDescent="0.3">
      <c r="AH131" s="44"/>
      <c r="AI131" s="49"/>
      <c r="AJ131" s="44"/>
      <c r="AK131" s="44"/>
      <c r="AL131" s="44"/>
      <c r="AM131" s="44"/>
      <c r="AN131" s="44"/>
    </row>
    <row r="132" spans="34:40" ht="14.25" customHeight="1" x14ac:dyDescent="0.3">
      <c r="AH132" s="44"/>
      <c r="AI132" s="49"/>
      <c r="AJ132" s="44"/>
      <c r="AK132" s="44"/>
      <c r="AL132" s="44"/>
      <c r="AM132" s="44"/>
      <c r="AN132" s="44"/>
    </row>
    <row r="133" spans="34:40" ht="14.25" customHeight="1" x14ac:dyDescent="0.3">
      <c r="AH133" s="44"/>
      <c r="AI133" s="49"/>
      <c r="AJ133" s="44"/>
      <c r="AK133" s="44"/>
      <c r="AL133" s="44"/>
      <c r="AM133" s="44"/>
      <c r="AN133" s="44"/>
    </row>
    <row r="134" spans="34:40" ht="14.25" customHeight="1" x14ac:dyDescent="0.3">
      <c r="AH134" s="44"/>
      <c r="AI134" s="49"/>
      <c r="AJ134" s="44"/>
      <c r="AK134" s="44"/>
      <c r="AL134" s="44"/>
      <c r="AM134" s="44"/>
      <c r="AN134" s="44"/>
    </row>
    <row r="135" spans="34:40" ht="14.25" customHeight="1" x14ac:dyDescent="0.3">
      <c r="AH135" s="44"/>
      <c r="AI135" s="49"/>
      <c r="AJ135" s="44"/>
      <c r="AK135" s="44"/>
      <c r="AL135" s="44"/>
      <c r="AM135" s="44"/>
      <c r="AN135" s="44"/>
    </row>
    <row r="136" spans="34:40" ht="14.25" customHeight="1" x14ac:dyDescent="0.3">
      <c r="AH136" s="44"/>
      <c r="AI136" s="49"/>
      <c r="AJ136" s="44"/>
      <c r="AK136" s="44"/>
      <c r="AL136" s="44"/>
      <c r="AM136" s="44"/>
      <c r="AN136" s="44"/>
    </row>
    <row r="137" spans="34:40" ht="14.25" customHeight="1" x14ac:dyDescent="0.3">
      <c r="AH137" s="44"/>
      <c r="AI137" s="49"/>
      <c r="AJ137" s="44"/>
      <c r="AK137" s="44"/>
      <c r="AL137" s="44"/>
      <c r="AM137" s="44"/>
      <c r="AN137" s="44"/>
    </row>
    <row r="138" spans="34:40" ht="14.25" customHeight="1" x14ac:dyDescent="0.3">
      <c r="AH138" s="44"/>
      <c r="AI138" s="49"/>
      <c r="AJ138" s="44"/>
      <c r="AK138" s="44"/>
      <c r="AL138" s="44"/>
      <c r="AM138" s="44"/>
      <c r="AN138" s="44"/>
    </row>
    <row r="139" spans="34:40" ht="14.25" customHeight="1" x14ac:dyDescent="0.3">
      <c r="AH139" s="44"/>
      <c r="AI139" s="49"/>
      <c r="AJ139" s="44"/>
      <c r="AK139" s="44"/>
      <c r="AL139" s="44"/>
      <c r="AM139" s="44"/>
      <c r="AN139" s="44"/>
    </row>
    <row r="140" spans="34:40" ht="14.25" customHeight="1" x14ac:dyDescent="0.3">
      <c r="AH140" s="44"/>
      <c r="AI140" s="49"/>
      <c r="AJ140" s="44"/>
      <c r="AK140" s="44"/>
      <c r="AL140" s="44"/>
      <c r="AM140" s="44"/>
      <c r="AN140" s="44"/>
    </row>
    <row r="141" spans="34:40" ht="14.25" customHeight="1" x14ac:dyDescent="0.3">
      <c r="AH141" s="44"/>
      <c r="AI141" s="49"/>
      <c r="AJ141" s="44"/>
      <c r="AK141" s="44"/>
      <c r="AL141" s="44"/>
      <c r="AM141" s="44"/>
      <c r="AN141" s="44"/>
    </row>
    <row r="142" spans="34:40" ht="14.25" customHeight="1" x14ac:dyDescent="0.3">
      <c r="AH142" s="44"/>
      <c r="AI142" s="49"/>
      <c r="AJ142" s="44"/>
      <c r="AK142" s="44"/>
      <c r="AL142" s="44"/>
      <c r="AM142" s="44"/>
      <c r="AN142" s="44"/>
    </row>
    <row r="143" spans="34:40" ht="14.25" customHeight="1" x14ac:dyDescent="0.3">
      <c r="AH143" s="44"/>
      <c r="AI143" s="49"/>
      <c r="AJ143" s="44"/>
      <c r="AK143" s="44"/>
      <c r="AL143" s="44"/>
      <c r="AM143" s="44"/>
      <c r="AN143" s="44"/>
    </row>
    <row r="144" spans="34:40" ht="14.25" customHeight="1" x14ac:dyDescent="0.3">
      <c r="AH144" s="44"/>
      <c r="AI144" s="49"/>
      <c r="AJ144" s="44"/>
      <c r="AK144" s="44"/>
      <c r="AL144" s="44"/>
      <c r="AM144" s="44"/>
      <c r="AN144" s="44"/>
    </row>
    <row r="145" spans="34:40" ht="14.25" customHeight="1" x14ac:dyDescent="0.3">
      <c r="AH145" s="44"/>
      <c r="AI145" s="49"/>
      <c r="AJ145" s="44"/>
      <c r="AK145" s="44"/>
      <c r="AL145" s="44"/>
      <c r="AM145" s="44"/>
      <c r="AN145" s="44"/>
    </row>
    <row r="146" spans="34:40" ht="14.25" customHeight="1" x14ac:dyDescent="0.3">
      <c r="AH146" s="44"/>
      <c r="AI146" s="49"/>
      <c r="AJ146" s="44"/>
      <c r="AK146" s="44"/>
      <c r="AL146" s="44"/>
      <c r="AM146" s="44"/>
      <c r="AN146" s="44"/>
    </row>
    <row r="147" spans="34:40" ht="14.25" customHeight="1" x14ac:dyDescent="0.3">
      <c r="AH147" s="44"/>
      <c r="AI147" s="49"/>
      <c r="AJ147" s="44"/>
      <c r="AK147" s="44"/>
      <c r="AL147" s="44"/>
      <c r="AM147" s="44"/>
      <c r="AN147" s="44"/>
    </row>
    <row r="148" spans="34:40" ht="14.25" customHeight="1" x14ac:dyDescent="0.3">
      <c r="AH148" s="44"/>
      <c r="AI148" s="49"/>
      <c r="AJ148" s="44"/>
      <c r="AK148" s="44"/>
      <c r="AL148" s="44"/>
      <c r="AM148" s="44"/>
      <c r="AN148" s="44"/>
    </row>
    <row r="149" spans="34:40" ht="14.25" customHeight="1" x14ac:dyDescent="0.3">
      <c r="AH149" s="44"/>
      <c r="AI149" s="49"/>
      <c r="AJ149" s="44"/>
      <c r="AK149" s="44"/>
      <c r="AL149" s="44"/>
      <c r="AM149" s="44"/>
      <c r="AN149" s="44"/>
    </row>
    <row r="150" spans="34:40" ht="14.25" customHeight="1" x14ac:dyDescent="0.3">
      <c r="AH150" s="44"/>
      <c r="AI150" s="49"/>
      <c r="AJ150" s="44"/>
      <c r="AK150" s="44"/>
      <c r="AL150" s="44"/>
      <c r="AM150" s="44"/>
      <c r="AN150" s="44"/>
    </row>
    <row r="151" spans="34:40" ht="14.25" customHeight="1" x14ac:dyDescent="0.3">
      <c r="AH151" s="44"/>
      <c r="AI151" s="49"/>
      <c r="AJ151" s="44"/>
      <c r="AK151" s="44"/>
      <c r="AL151" s="44"/>
      <c r="AM151" s="44"/>
      <c r="AN151" s="44"/>
    </row>
    <row r="152" spans="34:40" ht="14.25" customHeight="1" x14ac:dyDescent="0.3">
      <c r="AH152" s="44"/>
      <c r="AI152" s="49"/>
      <c r="AJ152" s="44"/>
      <c r="AK152" s="44"/>
      <c r="AL152" s="44"/>
      <c r="AM152" s="44"/>
      <c r="AN152" s="44"/>
    </row>
    <row r="153" spans="34:40" ht="14.25" customHeight="1" x14ac:dyDescent="0.3">
      <c r="AH153" s="44"/>
      <c r="AI153" s="49"/>
      <c r="AJ153" s="44"/>
      <c r="AK153" s="44"/>
      <c r="AL153" s="44"/>
      <c r="AM153" s="44"/>
      <c r="AN153" s="44"/>
    </row>
    <row r="154" spans="34:40" ht="14.25" customHeight="1" x14ac:dyDescent="0.3">
      <c r="AH154" s="44"/>
      <c r="AI154" s="49"/>
      <c r="AJ154" s="44"/>
      <c r="AK154" s="44"/>
      <c r="AL154" s="44"/>
      <c r="AM154" s="44"/>
      <c r="AN154" s="44"/>
    </row>
    <row r="155" spans="34:40" ht="14.25" customHeight="1" x14ac:dyDescent="0.3">
      <c r="AH155" s="44"/>
      <c r="AI155" s="49"/>
      <c r="AJ155" s="44"/>
      <c r="AK155" s="44"/>
      <c r="AL155" s="44"/>
      <c r="AM155" s="44"/>
      <c r="AN155" s="44"/>
    </row>
    <row r="156" spans="34:40" ht="14.25" customHeight="1" x14ac:dyDescent="0.3">
      <c r="AH156" s="44"/>
      <c r="AI156" s="49"/>
      <c r="AJ156" s="44"/>
      <c r="AK156" s="44"/>
      <c r="AL156" s="44"/>
      <c r="AM156" s="44"/>
      <c r="AN156" s="44"/>
    </row>
    <row r="157" spans="34:40" ht="14.25" customHeight="1" x14ac:dyDescent="0.3">
      <c r="AH157" s="44"/>
      <c r="AI157" s="49"/>
      <c r="AJ157" s="44"/>
      <c r="AK157" s="44"/>
      <c r="AL157" s="44"/>
      <c r="AM157" s="44"/>
      <c r="AN157" s="44"/>
    </row>
    <row r="158" spans="34:40" ht="14.25" customHeight="1" x14ac:dyDescent="0.3">
      <c r="AH158" s="44"/>
      <c r="AI158" s="49"/>
      <c r="AJ158" s="44"/>
      <c r="AK158" s="44"/>
      <c r="AL158" s="44"/>
      <c r="AM158" s="44"/>
      <c r="AN158" s="44"/>
    </row>
    <row r="159" spans="34:40" ht="14.25" customHeight="1" x14ac:dyDescent="0.3">
      <c r="AH159" s="44"/>
      <c r="AI159" s="49"/>
      <c r="AJ159" s="44"/>
      <c r="AK159" s="44"/>
      <c r="AL159" s="44"/>
      <c r="AM159" s="44"/>
      <c r="AN159" s="44"/>
    </row>
    <row r="160" spans="34:40" ht="14.25" customHeight="1" x14ac:dyDescent="0.3">
      <c r="AH160" s="44"/>
      <c r="AI160" s="49"/>
      <c r="AJ160" s="44"/>
      <c r="AK160" s="44"/>
      <c r="AL160" s="44"/>
      <c r="AM160" s="44"/>
      <c r="AN160" s="44"/>
    </row>
    <row r="161" spans="34:40" ht="14.25" customHeight="1" x14ac:dyDescent="0.3">
      <c r="AH161" s="44"/>
      <c r="AI161" s="49"/>
      <c r="AJ161" s="44"/>
      <c r="AK161" s="44"/>
      <c r="AL161" s="44"/>
      <c r="AM161" s="44"/>
      <c r="AN161" s="44"/>
    </row>
    <row r="162" spans="34:40" ht="14.25" customHeight="1" x14ac:dyDescent="0.3">
      <c r="AH162" s="44"/>
      <c r="AI162" s="49"/>
      <c r="AJ162" s="44"/>
      <c r="AK162" s="44"/>
      <c r="AL162" s="44"/>
      <c r="AM162" s="44"/>
      <c r="AN162" s="44"/>
    </row>
    <row r="163" spans="34:40" ht="14.25" customHeight="1" x14ac:dyDescent="0.3">
      <c r="AH163" s="44"/>
      <c r="AI163" s="49"/>
      <c r="AJ163" s="44"/>
      <c r="AK163" s="44"/>
      <c r="AL163" s="44"/>
      <c r="AM163" s="44"/>
      <c r="AN163" s="44"/>
    </row>
    <row r="164" spans="34:40" ht="14.25" customHeight="1" x14ac:dyDescent="0.3">
      <c r="AH164" s="44"/>
      <c r="AI164" s="49"/>
      <c r="AJ164" s="44"/>
      <c r="AK164" s="44"/>
      <c r="AL164" s="44"/>
      <c r="AM164" s="44"/>
      <c r="AN164" s="44"/>
    </row>
    <row r="165" spans="34:40" ht="14.25" customHeight="1" x14ac:dyDescent="0.3">
      <c r="AH165" s="44"/>
      <c r="AI165" s="49"/>
      <c r="AJ165" s="44"/>
      <c r="AK165" s="44"/>
      <c r="AL165" s="44"/>
      <c r="AM165" s="44"/>
      <c r="AN165" s="44"/>
    </row>
    <row r="166" spans="34:40" ht="14.25" customHeight="1" x14ac:dyDescent="0.3">
      <c r="AH166" s="44"/>
      <c r="AI166" s="49"/>
      <c r="AJ166" s="44"/>
      <c r="AK166" s="44"/>
      <c r="AL166" s="44"/>
      <c r="AM166" s="44"/>
      <c r="AN166" s="44"/>
    </row>
    <row r="167" spans="34:40" ht="14.25" customHeight="1" x14ac:dyDescent="0.3">
      <c r="AH167" s="44"/>
      <c r="AI167" s="49"/>
      <c r="AJ167" s="44"/>
      <c r="AK167" s="44"/>
      <c r="AL167" s="44"/>
      <c r="AM167" s="44"/>
      <c r="AN167" s="44"/>
    </row>
    <row r="168" spans="34:40" ht="14.25" customHeight="1" x14ac:dyDescent="0.3">
      <c r="AH168" s="44"/>
      <c r="AI168" s="49"/>
      <c r="AJ168" s="44"/>
      <c r="AK168" s="44"/>
      <c r="AL168" s="44"/>
      <c r="AM168" s="44"/>
      <c r="AN168" s="44"/>
    </row>
    <row r="169" spans="34:40" ht="14.25" customHeight="1" x14ac:dyDescent="0.3">
      <c r="AH169" s="44"/>
      <c r="AI169" s="49"/>
      <c r="AJ169" s="44"/>
      <c r="AK169" s="44"/>
      <c r="AL169" s="44"/>
      <c r="AM169" s="44"/>
      <c r="AN169" s="44"/>
    </row>
    <row r="170" spans="34:40" ht="14.25" customHeight="1" x14ac:dyDescent="0.3">
      <c r="AH170" s="44"/>
      <c r="AI170" s="49"/>
      <c r="AJ170" s="44"/>
      <c r="AK170" s="44"/>
      <c r="AL170" s="44"/>
      <c r="AM170" s="44"/>
      <c r="AN170" s="44"/>
    </row>
    <row r="171" spans="34:40" ht="14.25" customHeight="1" x14ac:dyDescent="0.3">
      <c r="AH171" s="44"/>
      <c r="AI171" s="49"/>
      <c r="AJ171" s="44"/>
      <c r="AK171" s="44"/>
      <c r="AL171" s="44"/>
      <c r="AM171" s="44"/>
      <c r="AN171" s="44"/>
    </row>
    <row r="172" spans="34:40" ht="14.25" customHeight="1" x14ac:dyDescent="0.3">
      <c r="AH172" s="44"/>
      <c r="AI172" s="49"/>
      <c r="AJ172" s="44"/>
      <c r="AK172" s="44"/>
      <c r="AL172" s="44"/>
      <c r="AM172" s="44"/>
      <c r="AN172" s="44"/>
    </row>
    <row r="173" spans="34:40" ht="14.25" customHeight="1" x14ac:dyDescent="0.3">
      <c r="AH173" s="44"/>
      <c r="AI173" s="49"/>
      <c r="AJ173" s="44"/>
      <c r="AK173" s="44"/>
      <c r="AL173" s="44"/>
      <c r="AM173" s="44"/>
      <c r="AN173" s="44"/>
    </row>
    <row r="174" spans="34:40" ht="14.25" customHeight="1" x14ac:dyDescent="0.3">
      <c r="AH174" s="44"/>
      <c r="AI174" s="49"/>
      <c r="AJ174" s="44"/>
      <c r="AK174" s="44"/>
      <c r="AL174" s="44"/>
      <c r="AM174" s="44"/>
      <c r="AN174" s="44"/>
    </row>
    <row r="175" spans="34:40" ht="14.25" customHeight="1" x14ac:dyDescent="0.3">
      <c r="AH175" s="44"/>
      <c r="AI175" s="49"/>
      <c r="AJ175" s="44"/>
      <c r="AK175" s="44"/>
      <c r="AL175" s="44"/>
      <c r="AM175" s="44"/>
      <c r="AN175" s="44"/>
    </row>
    <row r="176" spans="34:40" ht="14.25" customHeight="1" x14ac:dyDescent="0.3">
      <c r="AH176" s="44"/>
      <c r="AI176" s="49"/>
      <c r="AJ176" s="44"/>
      <c r="AK176" s="44"/>
      <c r="AL176" s="44"/>
      <c r="AM176" s="44"/>
      <c r="AN176" s="44"/>
    </row>
    <row r="177" spans="34:40" ht="14.25" customHeight="1" x14ac:dyDescent="0.3">
      <c r="AH177" s="44"/>
      <c r="AI177" s="49"/>
      <c r="AJ177" s="44"/>
      <c r="AK177" s="44"/>
      <c r="AL177" s="44"/>
      <c r="AM177" s="44"/>
      <c r="AN177" s="44"/>
    </row>
    <row r="178" spans="34:40" ht="14.25" customHeight="1" x14ac:dyDescent="0.3">
      <c r="AH178" s="44"/>
      <c r="AI178" s="49"/>
      <c r="AJ178" s="44"/>
      <c r="AK178" s="44"/>
      <c r="AL178" s="44"/>
      <c r="AM178" s="44"/>
      <c r="AN178" s="44"/>
    </row>
    <row r="179" spans="34:40" ht="14.25" customHeight="1" x14ac:dyDescent="0.3">
      <c r="AH179" s="44"/>
      <c r="AI179" s="49"/>
      <c r="AJ179" s="44"/>
      <c r="AK179" s="44"/>
      <c r="AL179" s="44"/>
      <c r="AM179" s="44"/>
      <c r="AN179" s="44"/>
    </row>
    <row r="180" spans="34:40" ht="14.25" customHeight="1" x14ac:dyDescent="0.3">
      <c r="AH180" s="44"/>
      <c r="AI180" s="49"/>
      <c r="AJ180" s="44"/>
      <c r="AK180" s="44"/>
      <c r="AL180" s="44"/>
      <c r="AM180" s="44"/>
      <c r="AN180" s="44"/>
    </row>
    <row r="181" spans="34:40" ht="14.25" customHeight="1" x14ac:dyDescent="0.3">
      <c r="AH181" s="44"/>
      <c r="AI181" s="49"/>
      <c r="AJ181" s="44"/>
      <c r="AK181" s="44"/>
      <c r="AL181" s="44"/>
      <c r="AM181" s="44"/>
      <c r="AN181" s="44"/>
    </row>
    <row r="182" spans="34:40" ht="14.25" customHeight="1" x14ac:dyDescent="0.3">
      <c r="AH182" s="44"/>
      <c r="AI182" s="49"/>
      <c r="AJ182" s="44"/>
      <c r="AK182" s="44"/>
      <c r="AL182" s="44"/>
      <c r="AM182" s="44"/>
      <c r="AN182" s="44"/>
    </row>
    <row r="183" spans="34:40" ht="14.25" customHeight="1" x14ac:dyDescent="0.3">
      <c r="AH183" s="44"/>
      <c r="AI183" s="49"/>
      <c r="AJ183" s="44"/>
      <c r="AK183" s="44"/>
      <c r="AL183" s="44"/>
      <c r="AM183" s="44"/>
      <c r="AN183" s="44"/>
    </row>
    <row r="184" spans="34:40" ht="14.25" customHeight="1" x14ac:dyDescent="0.3">
      <c r="AH184" s="44"/>
      <c r="AI184" s="49"/>
      <c r="AJ184" s="44"/>
      <c r="AK184" s="44"/>
      <c r="AL184" s="44"/>
      <c r="AM184" s="44"/>
      <c r="AN184" s="44"/>
    </row>
    <row r="185" spans="34:40" ht="14.25" customHeight="1" x14ac:dyDescent="0.3">
      <c r="AH185" s="44"/>
      <c r="AI185" s="49"/>
      <c r="AJ185" s="44"/>
      <c r="AK185" s="44"/>
      <c r="AL185" s="44"/>
      <c r="AM185" s="44"/>
      <c r="AN185" s="44"/>
    </row>
    <row r="186" spans="34:40" ht="14.25" customHeight="1" x14ac:dyDescent="0.3">
      <c r="AH186" s="44"/>
      <c r="AI186" s="49"/>
      <c r="AJ186" s="44"/>
      <c r="AK186" s="44"/>
      <c r="AL186" s="44"/>
      <c r="AM186" s="44"/>
      <c r="AN186" s="44"/>
    </row>
    <row r="187" spans="34:40" ht="14.25" customHeight="1" x14ac:dyDescent="0.3">
      <c r="AH187" s="44"/>
      <c r="AI187" s="49"/>
      <c r="AJ187" s="44"/>
      <c r="AK187" s="44"/>
      <c r="AL187" s="44"/>
      <c r="AM187" s="44"/>
      <c r="AN187" s="44"/>
    </row>
    <row r="188" spans="34:40" ht="14.25" customHeight="1" x14ac:dyDescent="0.3">
      <c r="AH188" s="44"/>
      <c r="AI188" s="49"/>
      <c r="AJ188" s="44"/>
      <c r="AK188" s="44"/>
      <c r="AL188" s="44"/>
      <c r="AM188" s="44"/>
      <c r="AN188" s="44"/>
    </row>
    <row r="189" spans="34:40" ht="14.25" customHeight="1" x14ac:dyDescent="0.3">
      <c r="AH189" s="44"/>
      <c r="AI189" s="49"/>
      <c r="AJ189" s="44"/>
      <c r="AK189" s="44"/>
      <c r="AL189" s="44"/>
      <c r="AM189" s="44"/>
      <c r="AN189" s="44"/>
    </row>
    <row r="190" spans="34:40" ht="14.25" customHeight="1" x14ac:dyDescent="0.3">
      <c r="AH190" s="44"/>
      <c r="AI190" s="49"/>
      <c r="AJ190" s="44"/>
      <c r="AK190" s="44"/>
      <c r="AL190" s="44"/>
      <c r="AM190" s="44"/>
      <c r="AN190" s="44"/>
    </row>
    <row r="191" spans="34:40" ht="14.25" customHeight="1" x14ac:dyDescent="0.3">
      <c r="AH191" s="44"/>
      <c r="AI191" s="49"/>
      <c r="AJ191" s="44"/>
      <c r="AK191" s="44"/>
      <c r="AL191" s="44"/>
      <c r="AM191" s="44"/>
      <c r="AN191" s="44"/>
    </row>
    <row r="192" spans="34:40" ht="14.25" customHeight="1" x14ac:dyDescent="0.3">
      <c r="AH192" s="44"/>
      <c r="AI192" s="49"/>
      <c r="AJ192" s="44"/>
      <c r="AK192" s="44"/>
      <c r="AL192" s="44"/>
      <c r="AM192" s="44"/>
      <c r="AN192" s="44"/>
    </row>
    <row r="193" spans="34:40" ht="14.25" customHeight="1" x14ac:dyDescent="0.3">
      <c r="AH193" s="44"/>
      <c r="AI193" s="49"/>
      <c r="AJ193" s="44"/>
      <c r="AK193" s="44"/>
      <c r="AL193" s="44"/>
      <c r="AM193" s="44"/>
      <c r="AN193" s="44"/>
    </row>
    <row r="194" spans="34:40" ht="14.25" customHeight="1" x14ac:dyDescent="0.3">
      <c r="AH194" s="44"/>
      <c r="AI194" s="49"/>
      <c r="AJ194" s="44"/>
      <c r="AK194" s="44"/>
      <c r="AL194" s="44"/>
      <c r="AM194" s="44"/>
      <c r="AN194" s="44"/>
    </row>
    <row r="195" spans="34:40" ht="14.25" customHeight="1" x14ac:dyDescent="0.3">
      <c r="AH195" s="44"/>
      <c r="AI195" s="49"/>
      <c r="AJ195" s="44"/>
      <c r="AK195" s="44"/>
      <c r="AL195" s="44"/>
      <c r="AM195" s="44"/>
      <c r="AN195" s="44"/>
    </row>
    <row r="196" spans="34:40" ht="14.25" customHeight="1" x14ac:dyDescent="0.3">
      <c r="AH196" s="44"/>
      <c r="AI196" s="49"/>
      <c r="AJ196" s="44"/>
      <c r="AK196" s="44"/>
      <c r="AL196" s="44"/>
      <c r="AM196" s="44"/>
      <c r="AN196" s="44"/>
    </row>
    <row r="197" spans="34:40" ht="14.25" customHeight="1" x14ac:dyDescent="0.3">
      <c r="AH197" s="44"/>
      <c r="AI197" s="49"/>
      <c r="AJ197" s="44"/>
      <c r="AK197" s="44"/>
      <c r="AL197" s="44"/>
      <c r="AM197" s="44"/>
      <c r="AN197" s="44"/>
    </row>
    <row r="198" spans="34:40" ht="14.25" customHeight="1" x14ac:dyDescent="0.3">
      <c r="AH198" s="44"/>
      <c r="AI198" s="49"/>
      <c r="AJ198" s="44"/>
      <c r="AK198" s="44"/>
      <c r="AL198" s="44"/>
      <c r="AM198" s="44"/>
      <c r="AN198" s="44"/>
    </row>
    <row r="199" spans="34:40" ht="14.25" customHeight="1" x14ac:dyDescent="0.3">
      <c r="AH199" s="44"/>
      <c r="AI199" s="49"/>
      <c r="AJ199" s="44"/>
      <c r="AK199" s="44"/>
      <c r="AL199" s="44"/>
      <c r="AM199" s="44"/>
      <c r="AN199" s="44"/>
    </row>
    <row r="200" spans="34:40" ht="14.25" customHeight="1" x14ac:dyDescent="0.3">
      <c r="AH200" s="44"/>
      <c r="AI200" s="49"/>
      <c r="AJ200" s="44"/>
      <c r="AK200" s="44"/>
      <c r="AL200" s="44"/>
      <c r="AM200" s="44"/>
      <c r="AN200" s="44"/>
    </row>
    <row r="201" spans="34:40" ht="14.25" customHeight="1" x14ac:dyDescent="0.3">
      <c r="AH201" s="44"/>
      <c r="AI201" s="49"/>
      <c r="AJ201" s="44"/>
      <c r="AK201" s="44"/>
      <c r="AL201" s="44"/>
      <c r="AM201" s="44"/>
      <c r="AN201" s="44"/>
    </row>
    <row r="202" spans="34:40" ht="14.25" customHeight="1" x14ac:dyDescent="0.3">
      <c r="AH202" s="44"/>
      <c r="AI202" s="49"/>
      <c r="AJ202" s="44"/>
      <c r="AK202" s="44"/>
      <c r="AL202" s="44"/>
      <c r="AM202" s="44"/>
      <c r="AN202" s="44"/>
    </row>
    <row r="203" spans="34:40" ht="14.25" customHeight="1" x14ac:dyDescent="0.3">
      <c r="AH203" s="44"/>
      <c r="AI203" s="49"/>
      <c r="AJ203" s="44"/>
      <c r="AK203" s="44"/>
      <c r="AL203" s="44"/>
      <c r="AM203" s="44"/>
      <c r="AN203" s="44"/>
    </row>
    <row r="204" spans="34:40" ht="14.25" customHeight="1" x14ac:dyDescent="0.3">
      <c r="AH204" s="44"/>
      <c r="AI204" s="49"/>
      <c r="AJ204" s="44"/>
      <c r="AK204" s="44"/>
      <c r="AL204" s="44"/>
      <c r="AM204" s="44"/>
      <c r="AN204" s="44"/>
    </row>
    <row r="205" spans="34:40" ht="14.25" customHeight="1" x14ac:dyDescent="0.3">
      <c r="AH205" s="44"/>
      <c r="AI205" s="49"/>
      <c r="AJ205" s="44"/>
      <c r="AK205" s="44"/>
      <c r="AL205" s="44"/>
      <c r="AM205" s="44"/>
      <c r="AN205" s="44"/>
    </row>
    <row r="206" spans="34:40" ht="14.25" customHeight="1" x14ac:dyDescent="0.3">
      <c r="AH206" s="44"/>
      <c r="AI206" s="49"/>
      <c r="AJ206" s="44"/>
      <c r="AK206" s="44"/>
      <c r="AL206" s="44"/>
      <c r="AM206" s="44"/>
      <c r="AN206" s="44"/>
    </row>
    <row r="207" spans="34:40" ht="14.25" customHeight="1" x14ac:dyDescent="0.3">
      <c r="AH207" s="44"/>
      <c r="AI207" s="49"/>
      <c r="AJ207" s="44"/>
      <c r="AK207" s="44"/>
      <c r="AL207" s="44"/>
      <c r="AM207" s="44"/>
      <c r="AN207" s="44"/>
    </row>
    <row r="208" spans="34:40" ht="14.25" customHeight="1" x14ac:dyDescent="0.3">
      <c r="AH208" s="44"/>
      <c r="AI208" s="49"/>
      <c r="AJ208" s="44"/>
      <c r="AK208" s="44"/>
      <c r="AL208" s="44"/>
      <c r="AM208" s="44"/>
      <c r="AN208" s="44"/>
    </row>
    <row r="209" spans="34:40" ht="14.25" customHeight="1" x14ac:dyDescent="0.3">
      <c r="AH209" s="44"/>
      <c r="AI209" s="49"/>
      <c r="AJ209" s="44"/>
      <c r="AK209" s="44"/>
      <c r="AL209" s="44"/>
      <c r="AM209" s="44"/>
      <c r="AN209" s="44"/>
    </row>
    <row r="210" spans="34:40" ht="14.25" customHeight="1" x14ac:dyDescent="0.3">
      <c r="AH210" s="44"/>
      <c r="AI210" s="49"/>
      <c r="AJ210" s="44"/>
      <c r="AK210" s="44"/>
      <c r="AL210" s="44"/>
      <c r="AM210" s="44"/>
      <c r="AN210" s="44"/>
    </row>
    <row r="211" spans="34:40" ht="14.25" customHeight="1" x14ac:dyDescent="0.3">
      <c r="AH211" s="44"/>
      <c r="AI211" s="49"/>
      <c r="AJ211" s="44"/>
      <c r="AK211" s="44"/>
      <c r="AL211" s="44"/>
      <c r="AM211" s="44"/>
      <c r="AN211" s="44"/>
    </row>
    <row r="212" spans="34:40" ht="14.25" customHeight="1" x14ac:dyDescent="0.3">
      <c r="AH212" s="44"/>
      <c r="AI212" s="49"/>
      <c r="AJ212" s="44"/>
      <c r="AK212" s="44"/>
      <c r="AL212" s="44"/>
      <c r="AM212" s="44"/>
      <c r="AN212" s="44"/>
    </row>
    <row r="213" spans="34:40" ht="14.25" customHeight="1" x14ac:dyDescent="0.3">
      <c r="AH213" s="44"/>
      <c r="AI213" s="49"/>
      <c r="AJ213" s="44"/>
      <c r="AK213" s="44"/>
      <c r="AL213" s="44"/>
      <c r="AM213" s="44"/>
      <c r="AN213" s="44"/>
    </row>
    <row r="214" spans="34:40" ht="14.25" customHeight="1" x14ac:dyDescent="0.3">
      <c r="AH214" s="44"/>
      <c r="AI214" s="49"/>
      <c r="AJ214" s="44"/>
      <c r="AK214" s="44"/>
      <c r="AL214" s="44"/>
      <c r="AM214" s="44"/>
      <c r="AN214" s="44"/>
    </row>
    <row r="215" spans="34:40" ht="14.25" customHeight="1" x14ac:dyDescent="0.3">
      <c r="AH215" s="44"/>
      <c r="AI215" s="49"/>
      <c r="AJ215" s="44"/>
      <c r="AK215" s="44"/>
      <c r="AL215" s="44"/>
      <c r="AM215" s="44"/>
      <c r="AN215" s="44"/>
    </row>
    <row r="216" spans="34:40" ht="14.25" customHeight="1" x14ac:dyDescent="0.3">
      <c r="AH216" s="44"/>
      <c r="AI216" s="49"/>
      <c r="AJ216" s="44"/>
      <c r="AK216" s="44"/>
      <c r="AL216" s="44"/>
      <c r="AM216" s="44"/>
      <c r="AN216" s="44"/>
    </row>
    <row r="217" spans="34:40" ht="14.25" customHeight="1" x14ac:dyDescent="0.3">
      <c r="AH217" s="44"/>
      <c r="AI217" s="49"/>
      <c r="AJ217" s="44"/>
      <c r="AK217" s="44"/>
      <c r="AL217" s="44"/>
      <c r="AM217" s="44"/>
      <c r="AN217" s="44"/>
    </row>
    <row r="218" spans="34:40" ht="14.25" customHeight="1" x14ac:dyDescent="0.3">
      <c r="AH218" s="44"/>
      <c r="AI218" s="49"/>
      <c r="AJ218" s="44"/>
      <c r="AK218" s="44"/>
      <c r="AL218" s="44"/>
      <c r="AM218" s="44"/>
      <c r="AN218" s="44"/>
    </row>
    <row r="219" spans="34:40" ht="14.25" customHeight="1" x14ac:dyDescent="0.3">
      <c r="AH219" s="44"/>
      <c r="AI219" s="49"/>
      <c r="AJ219" s="44"/>
      <c r="AK219" s="44"/>
      <c r="AL219" s="44"/>
      <c r="AM219" s="44"/>
      <c r="AN219" s="44"/>
    </row>
    <row r="220" spans="34:40" ht="14.25" customHeight="1" x14ac:dyDescent="0.3">
      <c r="AH220" s="44"/>
      <c r="AI220" s="49"/>
      <c r="AJ220" s="44"/>
      <c r="AK220" s="44"/>
      <c r="AL220" s="44"/>
      <c r="AM220" s="44"/>
      <c r="AN220" s="44"/>
    </row>
    <row r="221" spans="34:40" ht="14.25" customHeight="1" x14ac:dyDescent="0.3">
      <c r="AH221" s="44"/>
      <c r="AI221" s="49"/>
      <c r="AJ221" s="44"/>
      <c r="AK221" s="44"/>
      <c r="AL221" s="44"/>
      <c r="AM221" s="44"/>
      <c r="AN221" s="44"/>
    </row>
    <row r="222" spans="34:40" ht="14.25" customHeight="1" x14ac:dyDescent="0.3">
      <c r="AH222" s="44"/>
      <c r="AI222" s="49"/>
      <c r="AJ222" s="44"/>
      <c r="AK222" s="44"/>
      <c r="AL222" s="44"/>
      <c r="AM222" s="44"/>
      <c r="AN222" s="44"/>
    </row>
    <row r="223" spans="34:40" ht="14.25" customHeight="1" x14ac:dyDescent="0.3">
      <c r="AH223" s="44"/>
      <c r="AI223" s="49"/>
      <c r="AJ223" s="44"/>
      <c r="AK223" s="44"/>
      <c r="AL223" s="44"/>
      <c r="AM223" s="44"/>
      <c r="AN223" s="44"/>
    </row>
    <row r="224" spans="34:40" ht="14.25" customHeight="1" x14ac:dyDescent="0.3">
      <c r="AH224" s="44"/>
      <c r="AI224" s="49"/>
      <c r="AJ224" s="44"/>
      <c r="AK224" s="44"/>
      <c r="AL224" s="44"/>
      <c r="AM224" s="44"/>
      <c r="AN224" s="44"/>
    </row>
    <row r="225" spans="34:40" ht="14.25" customHeight="1" x14ac:dyDescent="0.3">
      <c r="AH225" s="44"/>
      <c r="AI225" s="49"/>
      <c r="AJ225" s="44"/>
      <c r="AK225" s="44"/>
      <c r="AL225" s="44"/>
      <c r="AM225" s="44"/>
      <c r="AN225" s="44"/>
    </row>
    <row r="226" spans="34:40" ht="14.25" customHeight="1" x14ac:dyDescent="0.3">
      <c r="AH226" s="44"/>
      <c r="AI226" s="49"/>
      <c r="AJ226" s="44"/>
      <c r="AK226" s="44"/>
      <c r="AL226" s="44"/>
      <c r="AM226" s="44"/>
      <c r="AN226" s="44"/>
    </row>
    <row r="227" spans="34:40" ht="14.25" customHeight="1" x14ac:dyDescent="0.3">
      <c r="AH227" s="44"/>
      <c r="AI227" s="49"/>
      <c r="AJ227" s="44"/>
      <c r="AK227" s="44"/>
      <c r="AL227" s="44"/>
      <c r="AM227" s="44"/>
      <c r="AN227" s="44"/>
    </row>
    <row r="228" spans="34:40" ht="14.25" customHeight="1" x14ac:dyDescent="0.3">
      <c r="AH228" s="44"/>
      <c r="AI228" s="49"/>
      <c r="AJ228" s="44"/>
      <c r="AK228" s="44"/>
      <c r="AL228" s="44"/>
      <c r="AM228" s="44"/>
      <c r="AN228" s="44"/>
    </row>
    <row r="229" spans="34:40" ht="14.25" customHeight="1" x14ac:dyDescent="0.3">
      <c r="AH229" s="44"/>
      <c r="AI229" s="49"/>
      <c r="AJ229" s="44"/>
      <c r="AK229" s="44"/>
      <c r="AL229" s="44"/>
      <c r="AM229" s="44"/>
      <c r="AN229" s="44"/>
    </row>
    <row r="230" spans="34:40" ht="14.25" customHeight="1" x14ac:dyDescent="0.3">
      <c r="AH230" s="44"/>
      <c r="AI230" s="49"/>
      <c r="AJ230" s="44"/>
      <c r="AK230" s="44"/>
      <c r="AL230" s="44"/>
      <c r="AM230" s="44"/>
      <c r="AN230" s="44"/>
    </row>
    <row r="231" spans="34:40" ht="14.25" customHeight="1" x14ac:dyDescent="0.3">
      <c r="AH231" s="44"/>
      <c r="AI231" s="49"/>
      <c r="AJ231" s="44"/>
      <c r="AK231" s="44"/>
      <c r="AL231" s="44"/>
      <c r="AM231" s="44"/>
      <c r="AN231" s="44"/>
    </row>
    <row r="232" spans="34:40" ht="14.25" customHeight="1" x14ac:dyDescent="0.3">
      <c r="AH232" s="44"/>
      <c r="AI232" s="49"/>
      <c r="AJ232" s="44"/>
      <c r="AK232" s="44"/>
      <c r="AL232" s="44"/>
      <c r="AM232" s="44"/>
      <c r="AN232" s="44"/>
    </row>
    <row r="233" spans="34:40" ht="14.25" customHeight="1" x14ac:dyDescent="0.3">
      <c r="AH233" s="44"/>
      <c r="AI233" s="49"/>
      <c r="AJ233" s="44"/>
      <c r="AK233" s="44"/>
      <c r="AL233" s="44"/>
      <c r="AM233" s="44"/>
      <c r="AN233" s="44"/>
    </row>
    <row r="234" spans="34:40" ht="14.25" customHeight="1" x14ac:dyDescent="0.3">
      <c r="AH234" s="44"/>
      <c r="AI234" s="49"/>
      <c r="AJ234" s="44"/>
      <c r="AK234" s="44"/>
      <c r="AL234" s="44"/>
      <c r="AM234" s="44"/>
      <c r="AN234" s="44"/>
    </row>
    <row r="235" spans="34:40" ht="14.25" customHeight="1" x14ac:dyDescent="0.3">
      <c r="AH235" s="44"/>
      <c r="AI235" s="49"/>
      <c r="AJ235" s="44"/>
      <c r="AK235" s="44"/>
      <c r="AL235" s="44"/>
      <c r="AM235" s="44"/>
      <c r="AN235" s="44"/>
    </row>
    <row r="236" spans="34:40" ht="14.25" customHeight="1" x14ac:dyDescent="0.3">
      <c r="AH236" s="44"/>
      <c r="AI236" s="49"/>
      <c r="AJ236" s="44"/>
      <c r="AK236" s="44"/>
      <c r="AL236" s="44"/>
      <c r="AM236" s="44"/>
      <c r="AN236" s="44"/>
    </row>
    <row r="237" spans="34:40" ht="14.25" customHeight="1" x14ac:dyDescent="0.3">
      <c r="AH237" s="44"/>
      <c r="AI237" s="49"/>
      <c r="AJ237" s="44"/>
      <c r="AK237" s="44"/>
      <c r="AL237" s="44"/>
      <c r="AM237" s="44"/>
      <c r="AN237" s="44"/>
    </row>
    <row r="238" spans="34:40" ht="14.25" customHeight="1" x14ac:dyDescent="0.3">
      <c r="AH238" s="44"/>
      <c r="AI238" s="49"/>
      <c r="AJ238" s="44"/>
      <c r="AK238" s="44"/>
      <c r="AL238" s="44"/>
      <c r="AM238" s="44"/>
      <c r="AN238" s="44"/>
    </row>
    <row r="239" spans="34:40" ht="14.25" customHeight="1" x14ac:dyDescent="0.3">
      <c r="AH239" s="44"/>
      <c r="AI239" s="49"/>
      <c r="AJ239" s="44"/>
      <c r="AK239" s="44"/>
      <c r="AL239" s="44"/>
      <c r="AM239" s="44"/>
      <c r="AN239" s="44"/>
    </row>
    <row r="240" spans="34:40" ht="14.25" customHeight="1" x14ac:dyDescent="0.3">
      <c r="AH240" s="44"/>
      <c r="AI240" s="49"/>
      <c r="AJ240" s="44"/>
      <c r="AK240" s="44"/>
      <c r="AL240" s="44"/>
      <c r="AM240" s="44"/>
      <c r="AN240" s="44"/>
    </row>
    <row r="241" spans="34:40" ht="14.25" customHeight="1" x14ac:dyDescent="0.3">
      <c r="AH241" s="44"/>
      <c r="AI241" s="49"/>
      <c r="AJ241" s="44"/>
      <c r="AK241" s="44"/>
      <c r="AL241" s="44"/>
      <c r="AM241" s="44"/>
      <c r="AN241" s="44"/>
    </row>
    <row r="242" spans="34:40" ht="14.25" customHeight="1" x14ac:dyDescent="0.3">
      <c r="AH242" s="44"/>
      <c r="AI242" s="49"/>
      <c r="AJ242" s="44"/>
      <c r="AK242" s="44"/>
      <c r="AL242" s="44"/>
      <c r="AM242" s="44"/>
      <c r="AN242" s="44"/>
    </row>
    <row r="243" spans="34:40" ht="14.25" customHeight="1" x14ac:dyDescent="0.3">
      <c r="AH243" s="44"/>
      <c r="AI243" s="49"/>
      <c r="AJ243" s="44"/>
      <c r="AK243" s="44"/>
      <c r="AL243" s="44"/>
      <c r="AM243" s="44"/>
      <c r="AN243" s="44"/>
    </row>
    <row r="244" spans="34:40" ht="14.25" customHeight="1" x14ac:dyDescent="0.3">
      <c r="AH244" s="44"/>
      <c r="AI244" s="49"/>
      <c r="AJ244" s="44"/>
      <c r="AK244" s="44"/>
      <c r="AL244" s="44"/>
      <c r="AM244" s="44"/>
      <c r="AN244" s="44"/>
    </row>
    <row r="245" spans="34:40" ht="14.25" customHeight="1" x14ac:dyDescent="0.3">
      <c r="AH245" s="44"/>
      <c r="AI245" s="49"/>
      <c r="AJ245" s="44"/>
      <c r="AK245" s="44"/>
      <c r="AL245" s="44"/>
      <c r="AM245" s="44"/>
      <c r="AN245" s="44"/>
    </row>
    <row r="246" spans="34:40" ht="14.25" customHeight="1" x14ac:dyDescent="0.3">
      <c r="AH246" s="44"/>
      <c r="AI246" s="49"/>
      <c r="AJ246" s="44"/>
      <c r="AK246" s="44"/>
      <c r="AL246" s="44"/>
      <c r="AM246" s="44"/>
      <c r="AN246" s="44"/>
    </row>
    <row r="247" spans="34:40" ht="14.25" customHeight="1" x14ac:dyDescent="0.3">
      <c r="AH247" s="44"/>
      <c r="AI247" s="49"/>
      <c r="AJ247" s="44"/>
      <c r="AK247" s="44"/>
      <c r="AL247" s="44"/>
      <c r="AM247" s="44"/>
      <c r="AN247" s="44"/>
    </row>
    <row r="248" spans="34:40" ht="14.25" customHeight="1" x14ac:dyDescent="0.3">
      <c r="AH248" s="44"/>
      <c r="AI248" s="49"/>
      <c r="AJ248" s="44"/>
      <c r="AK248" s="44"/>
      <c r="AL248" s="44"/>
      <c r="AM248" s="44"/>
      <c r="AN248" s="44"/>
    </row>
    <row r="249" spans="34:40" ht="14.25" customHeight="1" x14ac:dyDescent="0.3">
      <c r="AH249" s="44"/>
      <c r="AI249" s="49"/>
      <c r="AJ249" s="44"/>
      <c r="AK249" s="44"/>
      <c r="AL249" s="44"/>
      <c r="AM249" s="44"/>
      <c r="AN249" s="44"/>
    </row>
    <row r="250" spans="34:40" ht="14.25" customHeight="1" x14ac:dyDescent="0.3">
      <c r="AH250" s="44"/>
      <c r="AI250" s="49"/>
      <c r="AJ250" s="44"/>
      <c r="AK250" s="44"/>
      <c r="AL250" s="44"/>
      <c r="AM250" s="44"/>
      <c r="AN250" s="44"/>
    </row>
    <row r="251" spans="34:40" ht="14.25" customHeight="1" x14ac:dyDescent="0.3">
      <c r="AH251" s="44"/>
      <c r="AI251" s="49"/>
      <c r="AJ251" s="44"/>
      <c r="AK251" s="44"/>
      <c r="AL251" s="44"/>
      <c r="AM251" s="44"/>
      <c r="AN251" s="44"/>
    </row>
    <row r="252" spans="34:40" ht="14.25" customHeight="1" x14ac:dyDescent="0.3">
      <c r="AH252" s="44"/>
      <c r="AI252" s="49"/>
      <c r="AJ252" s="44"/>
      <c r="AK252" s="44"/>
      <c r="AL252" s="44"/>
      <c r="AM252" s="44"/>
      <c r="AN252" s="44"/>
    </row>
    <row r="253" spans="34:40" ht="14.25" customHeight="1" x14ac:dyDescent="0.3">
      <c r="AH253" s="44"/>
      <c r="AI253" s="49"/>
      <c r="AJ253" s="44"/>
      <c r="AK253" s="44"/>
      <c r="AL253" s="44"/>
      <c r="AM253" s="44"/>
      <c r="AN253" s="44"/>
    </row>
    <row r="254" spans="34:40" ht="14.25" customHeight="1" x14ac:dyDescent="0.3">
      <c r="AH254" s="44"/>
      <c r="AI254" s="49"/>
      <c r="AJ254" s="44"/>
      <c r="AK254" s="44"/>
      <c r="AL254" s="44"/>
      <c r="AM254" s="44"/>
      <c r="AN254" s="44"/>
    </row>
    <row r="255" spans="34:40" ht="14.25" customHeight="1" x14ac:dyDescent="0.3">
      <c r="AH255" s="44"/>
      <c r="AI255" s="49"/>
      <c r="AJ255" s="44"/>
      <c r="AK255" s="44"/>
      <c r="AL255" s="44"/>
      <c r="AM255" s="44"/>
      <c r="AN255" s="44"/>
    </row>
    <row r="256" spans="34:40" ht="14.25" customHeight="1" x14ac:dyDescent="0.3">
      <c r="AH256" s="44"/>
      <c r="AI256" s="49"/>
      <c r="AJ256" s="44"/>
      <c r="AK256" s="44"/>
      <c r="AL256" s="44"/>
      <c r="AM256" s="44"/>
      <c r="AN256" s="44"/>
    </row>
    <row r="257" spans="34:40" ht="14.25" customHeight="1" x14ac:dyDescent="0.3">
      <c r="AH257" s="44"/>
      <c r="AI257" s="49"/>
      <c r="AJ257" s="44"/>
      <c r="AK257" s="44"/>
      <c r="AL257" s="44"/>
      <c r="AM257" s="44"/>
      <c r="AN257" s="44"/>
    </row>
    <row r="258" spans="34:40" ht="14.25" customHeight="1" x14ac:dyDescent="0.3">
      <c r="AH258" s="44"/>
      <c r="AI258" s="49"/>
      <c r="AJ258" s="44"/>
      <c r="AK258" s="44"/>
      <c r="AL258" s="44"/>
      <c r="AM258" s="44"/>
      <c r="AN258" s="44"/>
    </row>
    <row r="259" spans="34:40" ht="14.25" customHeight="1" x14ac:dyDescent="0.3">
      <c r="AH259" s="44"/>
      <c r="AI259" s="49"/>
      <c r="AJ259" s="44"/>
      <c r="AK259" s="44"/>
      <c r="AL259" s="44"/>
      <c r="AM259" s="44"/>
      <c r="AN259" s="44"/>
    </row>
    <row r="260" spans="34:40" ht="14.25" customHeight="1" x14ac:dyDescent="0.3">
      <c r="AH260" s="44"/>
      <c r="AI260" s="49"/>
      <c r="AJ260" s="44"/>
      <c r="AK260" s="44"/>
      <c r="AL260" s="44"/>
      <c r="AM260" s="44"/>
      <c r="AN260" s="44"/>
    </row>
    <row r="261" spans="34:40" ht="14.25" customHeight="1" x14ac:dyDescent="0.3">
      <c r="AH261" s="44"/>
      <c r="AI261" s="49"/>
      <c r="AJ261" s="44"/>
      <c r="AK261" s="44"/>
      <c r="AL261" s="44"/>
      <c r="AM261" s="44"/>
      <c r="AN261" s="44"/>
    </row>
    <row r="262" spans="34:40" ht="14.25" customHeight="1" x14ac:dyDescent="0.3">
      <c r="AH262" s="44"/>
      <c r="AI262" s="49"/>
      <c r="AJ262" s="44"/>
      <c r="AK262" s="44"/>
      <c r="AL262" s="44"/>
      <c r="AM262" s="44"/>
      <c r="AN262" s="44"/>
    </row>
    <row r="263" spans="34:40" ht="14.25" customHeight="1" x14ac:dyDescent="0.3">
      <c r="AH263" s="44"/>
      <c r="AI263" s="49"/>
      <c r="AJ263" s="44"/>
      <c r="AK263" s="44"/>
      <c r="AL263" s="44"/>
      <c r="AM263" s="44"/>
      <c r="AN263" s="44"/>
    </row>
    <row r="264" spans="34:40" ht="14.25" customHeight="1" x14ac:dyDescent="0.3">
      <c r="AH264" s="44"/>
      <c r="AI264" s="49"/>
      <c r="AJ264" s="44"/>
      <c r="AK264" s="44"/>
      <c r="AL264" s="44"/>
      <c r="AM264" s="44"/>
      <c r="AN264" s="44"/>
    </row>
    <row r="265" spans="34:40" ht="14.25" customHeight="1" x14ac:dyDescent="0.3">
      <c r="AH265" s="44"/>
      <c r="AI265" s="49"/>
      <c r="AJ265" s="44"/>
      <c r="AK265" s="44"/>
      <c r="AL265" s="44"/>
      <c r="AM265" s="44"/>
      <c r="AN265" s="44"/>
    </row>
    <row r="266" spans="34:40" ht="14.25" customHeight="1" x14ac:dyDescent="0.3">
      <c r="AH266" s="44"/>
      <c r="AI266" s="49"/>
      <c r="AJ266" s="44"/>
      <c r="AK266" s="44"/>
      <c r="AL266" s="44"/>
      <c r="AM266" s="44"/>
      <c r="AN266" s="44"/>
    </row>
    <row r="267" spans="34:40" ht="14.25" customHeight="1" x14ac:dyDescent="0.3">
      <c r="AH267" s="44"/>
      <c r="AI267" s="49"/>
      <c r="AJ267" s="44"/>
      <c r="AK267" s="44"/>
      <c r="AL267" s="44"/>
      <c r="AM267" s="44"/>
      <c r="AN267" s="44"/>
    </row>
    <row r="268" spans="34:40" ht="14.25" customHeight="1" x14ac:dyDescent="0.3">
      <c r="AH268" s="44"/>
      <c r="AI268" s="49"/>
      <c r="AJ268" s="44"/>
      <c r="AK268" s="44"/>
      <c r="AL268" s="44"/>
      <c r="AM268" s="44"/>
      <c r="AN268" s="44"/>
    </row>
    <row r="269" spans="34:40" ht="14.25" customHeight="1" x14ac:dyDescent="0.3">
      <c r="AH269" s="44"/>
      <c r="AI269" s="49"/>
      <c r="AJ269" s="44"/>
      <c r="AK269" s="44"/>
      <c r="AL269" s="44"/>
      <c r="AM269" s="44"/>
      <c r="AN269" s="44"/>
    </row>
    <row r="270" spans="34:40" ht="14.25" customHeight="1" x14ac:dyDescent="0.3">
      <c r="AH270" s="44"/>
      <c r="AI270" s="49"/>
      <c r="AJ270" s="44"/>
      <c r="AK270" s="44"/>
      <c r="AL270" s="44"/>
      <c r="AM270" s="44"/>
      <c r="AN270" s="44"/>
    </row>
    <row r="271" spans="34:40" ht="14.25" customHeight="1" x14ac:dyDescent="0.3">
      <c r="AH271" s="44"/>
      <c r="AI271" s="49"/>
      <c r="AJ271" s="44"/>
      <c r="AK271" s="44"/>
      <c r="AL271" s="44"/>
      <c r="AM271" s="44"/>
      <c r="AN271" s="44"/>
    </row>
    <row r="272" spans="34:40" ht="14.25" customHeight="1" x14ac:dyDescent="0.3">
      <c r="AH272" s="44"/>
      <c r="AI272" s="49"/>
      <c r="AJ272" s="44"/>
      <c r="AK272" s="44"/>
      <c r="AL272" s="44"/>
      <c r="AM272" s="44"/>
      <c r="AN272" s="44"/>
    </row>
    <row r="273" spans="34:40" ht="14.25" customHeight="1" x14ac:dyDescent="0.3">
      <c r="AH273" s="44"/>
      <c r="AI273" s="49"/>
      <c r="AJ273" s="44"/>
      <c r="AK273" s="44"/>
      <c r="AL273" s="44"/>
      <c r="AM273" s="44"/>
      <c r="AN273" s="44"/>
    </row>
    <row r="274" spans="34:40" ht="14.25" customHeight="1" x14ac:dyDescent="0.3">
      <c r="AH274" s="44"/>
      <c r="AI274" s="49"/>
      <c r="AJ274" s="44"/>
      <c r="AK274" s="44"/>
      <c r="AL274" s="44"/>
      <c r="AM274" s="44"/>
      <c r="AN274" s="44"/>
    </row>
    <row r="275" spans="34:40" ht="14.25" customHeight="1" x14ac:dyDescent="0.3">
      <c r="AH275" s="44"/>
      <c r="AI275" s="49"/>
      <c r="AJ275" s="44"/>
      <c r="AK275" s="44"/>
      <c r="AL275" s="44"/>
      <c r="AM275" s="44"/>
      <c r="AN275" s="44"/>
    </row>
    <row r="276" spans="34:40" ht="14.25" customHeight="1" x14ac:dyDescent="0.3">
      <c r="AH276" s="44"/>
      <c r="AI276" s="49"/>
      <c r="AJ276" s="44"/>
      <c r="AK276" s="44"/>
      <c r="AL276" s="44"/>
      <c r="AM276" s="44"/>
      <c r="AN276" s="44"/>
    </row>
    <row r="277" spans="34:40" ht="14.25" customHeight="1" x14ac:dyDescent="0.3">
      <c r="AH277" s="44"/>
      <c r="AI277" s="49"/>
      <c r="AJ277" s="44"/>
      <c r="AK277" s="44"/>
      <c r="AL277" s="44"/>
      <c r="AM277" s="44"/>
      <c r="AN277" s="44"/>
    </row>
    <row r="278" spans="34:40" ht="14.25" customHeight="1" x14ac:dyDescent="0.3">
      <c r="AH278" s="44"/>
      <c r="AI278" s="49"/>
      <c r="AJ278" s="44"/>
      <c r="AK278" s="44"/>
      <c r="AL278" s="44"/>
      <c r="AM278" s="44"/>
      <c r="AN278" s="44"/>
    </row>
    <row r="279" spans="34:40" ht="14.25" customHeight="1" x14ac:dyDescent="0.3">
      <c r="AH279" s="44"/>
      <c r="AI279" s="49"/>
      <c r="AJ279" s="44"/>
      <c r="AK279" s="44"/>
      <c r="AL279" s="44"/>
      <c r="AM279" s="44"/>
      <c r="AN279" s="44"/>
    </row>
    <row r="280" spans="34:40" ht="14.25" customHeight="1" x14ac:dyDescent="0.3">
      <c r="AH280" s="44"/>
      <c r="AI280" s="49"/>
      <c r="AJ280" s="44"/>
      <c r="AK280" s="44"/>
      <c r="AL280" s="44"/>
      <c r="AM280" s="44"/>
      <c r="AN280" s="44"/>
    </row>
    <row r="281" spans="34:40" ht="14.25" customHeight="1" x14ac:dyDescent="0.3">
      <c r="AH281" s="44"/>
      <c r="AI281" s="49"/>
      <c r="AJ281" s="44"/>
      <c r="AK281" s="44"/>
      <c r="AL281" s="44"/>
      <c r="AM281" s="44"/>
      <c r="AN281" s="44"/>
    </row>
    <row r="282" spans="34:40" ht="14.25" customHeight="1" x14ac:dyDescent="0.3">
      <c r="AH282" s="44"/>
      <c r="AI282" s="49"/>
      <c r="AJ282" s="44"/>
      <c r="AK282" s="44"/>
      <c r="AL282" s="44"/>
      <c r="AM282" s="44"/>
      <c r="AN282" s="44"/>
    </row>
    <row r="283" spans="34:40" ht="14.25" customHeight="1" x14ac:dyDescent="0.3">
      <c r="AH283" s="44"/>
      <c r="AI283" s="49"/>
      <c r="AJ283" s="44"/>
      <c r="AK283" s="44"/>
      <c r="AL283" s="44"/>
      <c r="AM283" s="44"/>
      <c r="AN283" s="44"/>
    </row>
    <row r="284" spans="34:40" ht="14.25" customHeight="1" x14ac:dyDescent="0.3">
      <c r="AH284" s="44"/>
      <c r="AI284" s="49"/>
      <c r="AJ284" s="44"/>
      <c r="AK284" s="44"/>
      <c r="AL284" s="44"/>
      <c r="AM284" s="44"/>
      <c r="AN284" s="44"/>
    </row>
    <row r="285" spans="34:40" ht="14.25" customHeight="1" x14ac:dyDescent="0.3">
      <c r="AH285" s="44"/>
      <c r="AI285" s="49"/>
      <c r="AJ285" s="44"/>
      <c r="AK285" s="44"/>
      <c r="AL285" s="44"/>
      <c r="AM285" s="44"/>
      <c r="AN285" s="44"/>
    </row>
    <row r="286" spans="34:40" ht="14.25" customHeight="1" x14ac:dyDescent="0.3">
      <c r="AH286" s="44"/>
      <c r="AI286" s="49"/>
      <c r="AJ286" s="44"/>
      <c r="AK286" s="44"/>
      <c r="AL286" s="44"/>
      <c r="AM286" s="44"/>
      <c r="AN286" s="44"/>
    </row>
    <row r="287" spans="34:40" ht="14.25" customHeight="1" x14ac:dyDescent="0.3">
      <c r="AH287" s="44"/>
      <c r="AI287" s="49"/>
      <c r="AJ287" s="44"/>
      <c r="AK287" s="44"/>
      <c r="AL287" s="44"/>
      <c r="AM287" s="44"/>
      <c r="AN287" s="44"/>
    </row>
    <row r="288" spans="34:40" ht="14.25" customHeight="1" x14ac:dyDescent="0.3">
      <c r="AH288" s="44"/>
      <c r="AI288" s="49"/>
      <c r="AJ288" s="44"/>
      <c r="AK288" s="44"/>
      <c r="AL288" s="44"/>
      <c r="AM288" s="44"/>
      <c r="AN288" s="44"/>
    </row>
    <row r="289" spans="34:40" ht="14.25" customHeight="1" x14ac:dyDescent="0.3">
      <c r="AH289" s="44"/>
      <c r="AI289" s="49"/>
      <c r="AJ289" s="44"/>
      <c r="AK289" s="44"/>
      <c r="AL289" s="44"/>
      <c r="AM289" s="44"/>
      <c r="AN289" s="44"/>
    </row>
    <row r="290" spans="34:40" ht="14.25" customHeight="1" x14ac:dyDescent="0.3">
      <c r="AH290" s="44"/>
      <c r="AI290" s="49"/>
      <c r="AJ290" s="44"/>
      <c r="AK290" s="44"/>
      <c r="AL290" s="44"/>
      <c r="AM290" s="44"/>
      <c r="AN290" s="44"/>
    </row>
    <row r="291" spans="34:40" ht="14.25" customHeight="1" x14ac:dyDescent="0.3">
      <c r="AH291" s="44"/>
      <c r="AI291" s="49"/>
      <c r="AJ291" s="44"/>
      <c r="AK291" s="44"/>
      <c r="AL291" s="44"/>
      <c r="AM291" s="44"/>
      <c r="AN291" s="44"/>
    </row>
    <row r="292" spans="34:40" ht="14.25" customHeight="1" x14ac:dyDescent="0.3">
      <c r="AH292" s="44"/>
      <c r="AI292" s="49"/>
      <c r="AJ292" s="44"/>
      <c r="AK292" s="44"/>
      <c r="AL292" s="44"/>
      <c r="AM292" s="44"/>
      <c r="AN292" s="44"/>
    </row>
    <row r="293" spans="34:40" ht="14.25" customHeight="1" x14ac:dyDescent="0.3">
      <c r="AH293" s="44"/>
      <c r="AI293" s="49"/>
      <c r="AJ293" s="44"/>
      <c r="AK293" s="44"/>
      <c r="AL293" s="44"/>
      <c r="AM293" s="44"/>
      <c r="AN293" s="44"/>
    </row>
    <row r="294" spans="34:40" ht="14.25" customHeight="1" x14ac:dyDescent="0.3">
      <c r="AH294" s="44"/>
      <c r="AI294" s="49"/>
      <c r="AJ294" s="44"/>
      <c r="AK294" s="44"/>
      <c r="AL294" s="44"/>
      <c r="AM294" s="44"/>
      <c r="AN294" s="44"/>
    </row>
    <row r="295" spans="34:40" ht="14.25" customHeight="1" x14ac:dyDescent="0.3">
      <c r="AH295" s="44"/>
      <c r="AI295" s="49"/>
      <c r="AJ295" s="44"/>
      <c r="AK295" s="44"/>
      <c r="AL295" s="44"/>
      <c r="AM295" s="44"/>
      <c r="AN295" s="44"/>
    </row>
    <row r="296" spans="34:40" ht="14.25" customHeight="1" x14ac:dyDescent="0.3">
      <c r="AH296" s="44"/>
      <c r="AI296" s="49"/>
      <c r="AJ296" s="44"/>
      <c r="AK296" s="44"/>
      <c r="AL296" s="44"/>
      <c r="AM296" s="44"/>
      <c r="AN296" s="44"/>
    </row>
    <row r="297" spans="34:40" ht="14.25" customHeight="1" x14ac:dyDescent="0.3">
      <c r="AH297" s="44"/>
      <c r="AI297" s="49"/>
      <c r="AJ297" s="44"/>
      <c r="AK297" s="44"/>
      <c r="AL297" s="44"/>
      <c r="AM297" s="44"/>
      <c r="AN297" s="44"/>
    </row>
    <row r="298" spans="34:40" ht="14.25" customHeight="1" x14ac:dyDescent="0.3">
      <c r="AH298" s="44"/>
      <c r="AI298" s="49"/>
      <c r="AJ298" s="44"/>
      <c r="AK298" s="44"/>
      <c r="AL298" s="44"/>
      <c r="AM298" s="44"/>
      <c r="AN298" s="44"/>
    </row>
    <row r="299" spans="34:40" ht="14.25" customHeight="1" x14ac:dyDescent="0.3">
      <c r="AH299" s="44"/>
      <c r="AI299" s="49"/>
      <c r="AJ299" s="44"/>
      <c r="AK299" s="44"/>
      <c r="AL299" s="44"/>
      <c r="AM299" s="44"/>
      <c r="AN299" s="44"/>
    </row>
    <row r="300" spans="34:40" ht="14.25" customHeight="1" x14ac:dyDescent="0.3">
      <c r="AH300" s="44"/>
      <c r="AI300" s="49"/>
      <c r="AJ300" s="44"/>
      <c r="AK300" s="44"/>
      <c r="AL300" s="44"/>
      <c r="AM300" s="44"/>
      <c r="AN300" s="44"/>
    </row>
    <row r="301" spans="34:40" ht="14.25" customHeight="1" x14ac:dyDescent="0.3">
      <c r="AH301" s="44"/>
      <c r="AI301" s="49"/>
      <c r="AJ301" s="44"/>
      <c r="AK301" s="44"/>
      <c r="AL301" s="44"/>
      <c r="AM301" s="44"/>
      <c r="AN301" s="44"/>
    </row>
    <row r="302" spans="34:40" ht="14.25" customHeight="1" x14ac:dyDescent="0.3">
      <c r="AH302" s="44"/>
      <c r="AI302" s="49"/>
      <c r="AJ302" s="44"/>
      <c r="AK302" s="44"/>
      <c r="AL302" s="44"/>
      <c r="AM302" s="44"/>
      <c r="AN302" s="44"/>
    </row>
    <row r="303" spans="34:40" ht="14.25" customHeight="1" x14ac:dyDescent="0.3">
      <c r="AH303" s="44"/>
      <c r="AI303" s="49"/>
      <c r="AJ303" s="44"/>
      <c r="AK303" s="44"/>
      <c r="AL303" s="44"/>
      <c r="AM303" s="44"/>
      <c r="AN303" s="44"/>
    </row>
    <row r="304" spans="34:40" ht="14.25" customHeight="1" x14ac:dyDescent="0.3">
      <c r="AH304" s="44"/>
      <c r="AI304" s="49"/>
      <c r="AJ304" s="44"/>
      <c r="AK304" s="44"/>
      <c r="AL304" s="44"/>
      <c r="AM304" s="44"/>
      <c r="AN304" s="44"/>
    </row>
    <row r="305" spans="34:40" ht="14.25" customHeight="1" x14ac:dyDescent="0.3">
      <c r="AH305" s="44"/>
      <c r="AI305" s="49"/>
      <c r="AJ305" s="44"/>
      <c r="AK305" s="44"/>
      <c r="AL305" s="44"/>
      <c r="AM305" s="44"/>
      <c r="AN305" s="44"/>
    </row>
    <row r="306" spans="34:40" ht="14.25" customHeight="1" x14ac:dyDescent="0.3">
      <c r="AH306" s="44"/>
      <c r="AI306" s="49"/>
      <c r="AJ306" s="44"/>
      <c r="AK306" s="44"/>
      <c r="AL306" s="44"/>
      <c r="AM306" s="44"/>
      <c r="AN306" s="44"/>
    </row>
    <row r="307" spans="34:40" ht="14.25" customHeight="1" x14ac:dyDescent="0.3">
      <c r="AH307" s="44"/>
      <c r="AI307" s="49"/>
      <c r="AJ307" s="44"/>
      <c r="AK307" s="44"/>
      <c r="AL307" s="44"/>
      <c r="AM307" s="44"/>
      <c r="AN307" s="44"/>
    </row>
    <row r="308" spans="34:40" ht="14.25" customHeight="1" x14ac:dyDescent="0.3">
      <c r="AH308" s="44"/>
      <c r="AI308" s="49"/>
      <c r="AJ308" s="44"/>
      <c r="AK308" s="44"/>
      <c r="AL308" s="44"/>
      <c r="AM308" s="44"/>
      <c r="AN308" s="44"/>
    </row>
    <row r="309" spans="34:40" ht="14.25" customHeight="1" x14ac:dyDescent="0.3">
      <c r="AH309" s="44"/>
      <c r="AI309" s="49"/>
      <c r="AJ309" s="44"/>
      <c r="AK309" s="44"/>
      <c r="AL309" s="44"/>
      <c r="AM309" s="44"/>
      <c r="AN309" s="44"/>
    </row>
    <row r="310" spans="34:40" ht="14.25" customHeight="1" x14ac:dyDescent="0.3">
      <c r="AH310" s="44"/>
      <c r="AI310" s="49"/>
      <c r="AJ310" s="44"/>
      <c r="AK310" s="44"/>
      <c r="AL310" s="44"/>
      <c r="AM310" s="44"/>
      <c r="AN310" s="44"/>
    </row>
    <row r="311" spans="34:40" ht="14.25" customHeight="1" x14ac:dyDescent="0.3">
      <c r="AH311" s="44"/>
      <c r="AI311" s="49"/>
      <c r="AJ311" s="44"/>
      <c r="AK311" s="44"/>
      <c r="AL311" s="44"/>
      <c r="AM311" s="44"/>
      <c r="AN311" s="44"/>
    </row>
    <row r="312" spans="34:40" ht="14.25" customHeight="1" x14ac:dyDescent="0.3">
      <c r="AH312" s="44"/>
      <c r="AI312" s="49"/>
      <c r="AJ312" s="44"/>
      <c r="AK312" s="44"/>
      <c r="AL312" s="44"/>
      <c r="AM312" s="44"/>
      <c r="AN312" s="44"/>
    </row>
    <row r="313" spans="34:40" ht="14.25" customHeight="1" x14ac:dyDescent="0.3">
      <c r="AH313" s="44"/>
      <c r="AI313" s="49"/>
      <c r="AJ313" s="44"/>
      <c r="AK313" s="44"/>
      <c r="AL313" s="44"/>
      <c r="AM313" s="44"/>
      <c r="AN313" s="44"/>
    </row>
    <row r="314" spans="34:40" ht="14.25" customHeight="1" x14ac:dyDescent="0.3">
      <c r="AH314" s="44"/>
      <c r="AI314" s="49"/>
      <c r="AJ314" s="44"/>
      <c r="AK314" s="44"/>
      <c r="AL314" s="44"/>
      <c r="AM314" s="44"/>
      <c r="AN314" s="44"/>
    </row>
    <row r="315" spans="34:40" ht="14.25" customHeight="1" x14ac:dyDescent="0.3">
      <c r="AH315" s="44"/>
      <c r="AI315" s="49"/>
      <c r="AJ315" s="44"/>
      <c r="AK315" s="44"/>
      <c r="AL315" s="44"/>
      <c r="AM315" s="44"/>
      <c r="AN315" s="44"/>
    </row>
    <row r="316" spans="34:40" ht="14.25" customHeight="1" x14ac:dyDescent="0.3">
      <c r="AH316" s="44"/>
      <c r="AI316" s="49"/>
      <c r="AJ316" s="44"/>
      <c r="AK316" s="44"/>
      <c r="AL316" s="44"/>
      <c r="AM316" s="44"/>
      <c r="AN316" s="44"/>
    </row>
    <row r="317" spans="34:40" ht="14.25" customHeight="1" x14ac:dyDescent="0.3">
      <c r="AH317" s="44"/>
      <c r="AI317" s="49"/>
      <c r="AJ317" s="44"/>
      <c r="AK317" s="44"/>
      <c r="AL317" s="44"/>
      <c r="AM317" s="44"/>
      <c r="AN317" s="44"/>
    </row>
    <row r="318" spans="34:40" ht="14.25" customHeight="1" x14ac:dyDescent="0.3">
      <c r="AH318" s="44"/>
      <c r="AI318" s="49"/>
      <c r="AJ318" s="44"/>
      <c r="AK318" s="44"/>
      <c r="AL318" s="44"/>
      <c r="AM318" s="44"/>
      <c r="AN318" s="44"/>
    </row>
    <row r="319" spans="34:40" ht="14.25" customHeight="1" x14ac:dyDescent="0.3">
      <c r="AH319" s="44"/>
      <c r="AI319" s="49"/>
      <c r="AJ319" s="44"/>
      <c r="AK319" s="44"/>
      <c r="AL319" s="44"/>
      <c r="AM319" s="44"/>
      <c r="AN319" s="44"/>
    </row>
    <row r="320" spans="34:40" ht="14.25" customHeight="1" x14ac:dyDescent="0.3">
      <c r="AH320" s="44"/>
      <c r="AI320" s="49"/>
      <c r="AJ320" s="44"/>
      <c r="AK320" s="44"/>
      <c r="AL320" s="44"/>
      <c r="AM320" s="44"/>
      <c r="AN320" s="44"/>
    </row>
    <row r="321" spans="34:40" ht="14.25" customHeight="1" x14ac:dyDescent="0.3">
      <c r="AH321" s="44"/>
      <c r="AI321" s="49"/>
      <c r="AJ321" s="44"/>
      <c r="AK321" s="44"/>
      <c r="AL321" s="44"/>
      <c r="AM321" s="44"/>
      <c r="AN321" s="44"/>
    </row>
    <row r="322" spans="34:40" ht="14.25" customHeight="1" x14ac:dyDescent="0.3">
      <c r="AH322" s="44"/>
      <c r="AI322" s="49"/>
      <c r="AJ322" s="44"/>
      <c r="AK322" s="44"/>
      <c r="AL322" s="44"/>
      <c r="AM322" s="44"/>
      <c r="AN322" s="44"/>
    </row>
    <row r="323" spans="34:40" ht="14.25" customHeight="1" x14ac:dyDescent="0.3">
      <c r="AH323" s="44"/>
      <c r="AI323" s="49"/>
      <c r="AJ323" s="44"/>
      <c r="AK323" s="44"/>
      <c r="AL323" s="44"/>
      <c r="AM323" s="44"/>
      <c r="AN323" s="44"/>
    </row>
    <row r="324" spans="34:40" ht="14.25" customHeight="1" x14ac:dyDescent="0.3">
      <c r="AH324" s="44"/>
      <c r="AI324" s="49"/>
      <c r="AJ324" s="44"/>
      <c r="AK324" s="44"/>
      <c r="AL324" s="44"/>
      <c r="AM324" s="44"/>
      <c r="AN324" s="44"/>
    </row>
    <row r="325" spans="34:40" ht="14.25" customHeight="1" x14ac:dyDescent="0.3">
      <c r="AH325" s="44"/>
      <c r="AI325" s="49"/>
      <c r="AJ325" s="44"/>
      <c r="AK325" s="44"/>
      <c r="AL325" s="44"/>
      <c r="AM325" s="44"/>
      <c r="AN325" s="44"/>
    </row>
    <row r="326" spans="34:40" ht="14.25" customHeight="1" x14ac:dyDescent="0.3">
      <c r="AH326" s="44"/>
      <c r="AI326" s="49"/>
      <c r="AJ326" s="44"/>
      <c r="AK326" s="44"/>
      <c r="AL326" s="44"/>
      <c r="AM326" s="44"/>
      <c r="AN326" s="44"/>
    </row>
    <row r="327" spans="34:40" ht="14.25" customHeight="1" x14ac:dyDescent="0.3">
      <c r="AH327" s="44"/>
      <c r="AI327" s="49"/>
      <c r="AJ327" s="44"/>
      <c r="AK327" s="44"/>
      <c r="AL327" s="44"/>
      <c r="AM327" s="44"/>
      <c r="AN327" s="44"/>
    </row>
    <row r="328" spans="34:40" ht="14.25" customHeight="1" x14ac:dyDescent="0.3">
      <c r="AH328" s="44"/>
      <c r="AI328" s="49"/>
      <c r="AJ328" s="44"/>
      <c r="AK328" s="44"/>
      <c r="AL328" s="44"/>
      <c r="AM328" s="44"/>
      <c r="AN328" s="44"/>
    </row>
    <row r="329" spans="34:40" ht="14.25" customHeight="1" x14ac:dyDescent="0.3">
      <c r="AH329" s="44"/>
      <c r="AI329" s="49"/>
      <c r="AJ329" s="44"/>
      <c r="AK329" s="44"/>
      <c r="AL329" s="44"/>
      <c r="AM329" s="44"/>
      <c r="AN329" s="44"/>
    </row>
    <row r="330" spans="34:40" ht="14.25" customHeight="1" x14ac:dyDescent="0.3">
      <c r="AH330" s="44"/>
      <c r="AI330" s="49"/>
      <c r="AJ330" s="44"/>
      <c r="AK330" s="44"/>
      <c r="AL330" s="44"/>
      <c r="AM330" s="44"/>
      <c r="AN330" s="44"/>
    </row>
    <row r="331" spans="34:40" ht="14.25" customHeight="1" x14ac:dyDescent="0.3">
      <c r="AH331" s="44"/>
      <c r="AI331" s="49"/>
      <c r="AJ331" s="44"/>
      <c r="AK331" s="44"/>
      <c r="AL331" s="44"/>
      <c r="AM331" s="44"/>
      <c r="AN331" s="44"/>
    </row>
    <row r="332" spans="34:40" ht="14.25" customHeight="1" x14ac:dyDescent="0.3">
      <c r="AH332" s="44"/>
      <c r="AI332" s="49"/>
      <c r="AJ332" s="44"/>
      <c r="AK332" s="44"/>
      <c r="AL332" s="44"/>
      <c r="AM332" s="44"/>
      <c r="AN332" s="44"/>
    </row>
    <row r="333" spans="34:40" ht="14.25" customHeight="1" x14ac:dyDescent="0.3">
      <c r="AH333" s="44"/>
      <c r="AI333" s="49"/>
      <c r="AJ333" s="44"/>
      <c r="AK333" s="44"/>
      <c r="AL333" s="44"/>
      <c r="AM333" s="44"/>
      <c r="AN333" s="44"/>
    </row>
    <row r="334" spans="34:40" ht="14.25" customHeight="1" x14ac:dyDescent="0.3">
      <c r="AH334" s="44"/>
      <c r="AI334" s="49"/>
      <c r="AJ334" s="44"/>
      <c r="AK334" s="44"/>
      <c r="AL334" s="44"/>
      <c r="AM334" s="44"/>
      <c r="AN334" s="44"/>
    </row>
    <row r="335" spans="34:40" ht="14.25" customHeight="1" x14ac:dyDescent="0.3">
      <c r="AH335" s="44"/>
      <c r="AI335" s="49"/>
      <c r="AJ335" s="44"/>
      <c r="AK335" s="44"/>
      <c r="AL335" s="44"/>
      <c r="AM335" s="44"/>
      <c r="AN335" s="44"/>
    </row>
    <row r="336" spans="34:40" ht="14.25" customHeight="1" x14ac:dyDescent="0.3">
      <c r="AH336" s="44"/>
      <c r="AI336" s="49"/>
      <c r="AJ336" s="44"/>
      <c r="AK336" s="44"/>
      <c r="AL336" s="44"/>
      <c r="AM336" s="44"/>
      <c r="AN336" s="44"/>
    </row>
    <row r="337" spans="34:40" ht="14.25" customHeight="1" x14ac:dyDescent="0.3">
      <c r="AH337" s="44"/>
      <c r="AI337" s="49"/>
      <c r="AJ337" s="44"/>
      <c r="AK337" s="44"/>
      <c r="AL337" s="44"/>
      <c r="AM337" s="44"/>
      <c r="AN337" s="44"/>
    </row>
    <row r="338" spans="34:40" ht="14.25" customHeight="1" x14ac:dyDescent="0.3">
      <c r="AH338" s="44"/>
      <c r="AI338" s="49"/>
      <c r="AJ338" s="44"/>
      <c r="AK338" s="44"/>
      <c r="AL338" s="44"/>
      <c r="AM338" s="44"/>
      <c r="AN338" s="44"/>
    </row>
    <row r="339" spans="34:40" ht="14.25" customHeight="1" x14ac:dyDescent="0.3">
      <c r="AH339" s="44"/>
      <c r="AI339" s="49"/>
      <c r="AJ339" s="44"/>
      <c r="AK339" s="44"/>
      <c r="AL339" s="44"/>
      <c r="AM339" s="44"/>
      <c r="AN339" s="44"/>
    </row>
    <row r="340" spans="34:40" ht="14.25" customHeight="1" x14ac:dyDescent="0.3">
      <c r="AH340" s="44"/>
      <c r="AI340" s="49"/>
      <c r="AJ340" s="44"/>
      <c r="AK340" s="44"/>
      <c r="AL340" s="44"/>
      <c r="AM340" s="44"/>
      <c r="AN340" s="44"/>
    </row>
    <row r="341" spans="34:40" ht="14.25" customHeight="1" x14ac:dyDescent="0.3">
      <c r="AH341" s="44"/>
      <c r="AI341" s="49"/>
      <c r="AJ341" s="44"/>
      <c r="AK341" s="44"/>
      <c r="AL341" s="44"/>
      <c r="AM341" s="44"/>
      <c r="AN341" s="44"/>
    </row>
    <row r="342" spans="34:40" ht="14.25" customHeight="1" x14ac:dyDescent="0.3">
      <c r="AH342" s="44"/>
      <c r="AI342" s="49"/>
      <c r="AJ342" s="44"/>
      <c r="AK342" s="44"/>
      <c r="AL342" s="44"/>
      <c r="AM342" s="44"/>
      <c r="AN342" s="44"/>
    </row>
    <row r="343" spans="34:40" ht="14.25" customHeight="1" x14ac:dyDescent="0.3">
      <c r="AH343" s="44"/>
      <c r="AI343" s="49"/>
      <c r="AJ343" s="44"/>
      <c r="AK343" s="44"/>
      <c r="AL343" s="44"/>
      <c r="AM343" s="44"/>
      <c r="AN343" s="44"/>
    </row>
    <row r="344" spans="34:40" ht="14.25" customHeight="1" x14ac:dyDescent="0.3">
      <c r="AH344" s="44"/>
      <c r="AI344" s="49"/>
      <c r="AJ344" s="44"/>
      <c r="AK344" s="44"/>
      <c r="AL344" s="44"/>
      <c r="AM344" s="44"/>
      <c r="AN344" s="44"/>
    </row>
    <row r="345" spans="34:40" ht="14.25" customHeight="1" x14ac:dyDescent="0.3">
      <c r="AH345" s="44"/>
      <c r="AI345" s="49"/>
      <c r="AJ345" s="44"/>
      <c r="AK345" s="44"/>
      <c r="AL345" s="44"/>
      <c r="AM345" s="44"/>
      <c r="AN345" s="44"/>
    </row>
    <row r="346" spans="34:40" ht="14.25" customHeight="1" x14ac:dyDescent="0.3">
      <c r="AH346" s="44"/>
      <c r="AI346" s="49"/>
      <c r="AJ346" s="44"/>
      <c r="AK346" s="44"/>
      <c r="AL346" s="44"/>
      <c r="AM346" s="44"/>
      <c r="AN346" s="44"/>
    </row>
    <row r="347" spans="34:40" ht="14.25" customHeight="1" x14ac:dyDescent="0.3">
      <c r="AH347" s="44"/>
      <c r="AI347" s="49"/>
      <c r="AJ347" s="44"/>
      <c r="AK347" s="44"/>
      <c r="AL347" s="44"/>
      <c r="AM347" s="44"/>
      <c r="AN347" s="44"/>
    </row>
    <row r="348" spans="34:40" ht="14.25" customHeight="1" x14ac:dyDescent="0.3">
      <c r="AH348" s="44"/>
      <c r="AI348" s="49"/>
      <c r="AJ348" s="44"/>
      <c r="AK348" s="44"/>
      <c r="AL348" s="44"/>
      <c r="AM348" s="44"/>
      <c r="AN348" s="44"/>
    </row>
    <row r="349" spans="34:40" ht="14.25" customHeight="1" x14ac:dyDescent="0.3">
      <c r="AH349" s="44"/>
      <c r="AI349" s="49"/>
      <c r="AJ349" s="44"/>
      <c r="AK349" s="44"/>
      <c r="AL349" s="44"/>
      <c r="AM349" s="44"/>
      <c r="AN349" s="44"/>
    </row>
    <row r="350" spans="34:40" ht="14.25" customHeight="1" x14ac:dyDescent="0.3">
      <c r="AH350" s="44"/>
      <c r="AI350" s="49"/>
      <c r="AJ350" s="44"/>
      <c r="AK350" s="44"/>
      <c r="AL350" s="44"/>
      <c r="AM350" s="44"/>
      <c r="AN350" s="44"/>
    </row>
    <row r="351" spans="34:40" ht="14.25" customHeight="1" x14ac:dyDescent="0.3">
      <c r="AH351" s="44"/>
      <c r="AI351" s="49"/>
      <c r="AJ351" s="44"/>
      <c r="AK351" s="44"/>
      <c r="AL351" s="44"/>
      <c r="AM351" s="44"/>
      <c r="AN351" s="44"/>
    </row>
    <row r="352" spans="34:40" ht="14.25" customHeight="1" x14ac:dyDescent="0.3">
      <c r="AH352" s="44"/>
      <c r="AI352" s="49"/>
      <c r="AJ352" s="44"/>
      <c r="AK352" s="44"/>
      <c r="AL352" s="44"/>
      <c r="AM352" s="44"/>
      <c r="AN352" s="44"/>
    </row>
    <row r="353" spans="34:40" ht="14.25" customHeight="1" x14ac:dyDescent="0.3">
      <c r="AH353" s="44"/>
      <c r="AI353" s="49"/>
      <c r="AJ353" s="44"/>
      <c r="AK353" s="44"/>
      <c r="AL353" s="44"/>
      <c r="AM353" s="44"/>
      <c r="AN353" s="44"/>
    </row>
    <row r="354" spans="34:40" ht="14.25" customHeight="1" x14ac:dyDescent="0.3">
      <c r="AH354" s="44"/>
      <c r="AI354" s="49"/>
      <c r="AJ354" s="44"/>
      <c r="AK354" s="44"/>
      <c r="AL354" s="44"/>
      <c r="AM354" s="44"/>
      <c r="AN354" s="44"/>
    </row>
    <row r="355" spans="34:40" ht="14.25" customHeight="1" x14ac:dyDescent="0.3">
      <c r="AH355" s="44"/>
      <c r="AI355" s="49"/>
      <c r="AJ355" s="44"/>
      <c r="AK355" s="44"/>
      <c r="AL355" s="44"/>
      <c r="AM355" s="44"/>
      <c r="AN355" s="44"/>
    </row>
    <row r="356" spans="34:40" ht="14.25" customHeight="1" x14ac:dyDescent="0.3">
      <c r="AH356" s="44"/>
      <c r="AI356" s="49"/>
      <c r="AJ356" s="44"/>
      <c r="AK356" s="44"/>
      <c r="AL356" s="44"/>
      <c r="AM356" s="44"/>
      <c r="AN356" s="44"/>
    </row>
    <row r="357" spans="34:40" ht="14.25" customHeight="1" x14ac:dyDescent="0.3">
      <c r="AH357" s="44"/>
      <c r="AI357" s="49"/>
      <c r="AJ357" s="44"/>
      <c r="AK357" s="44"/>
      <c r="AL357" s="44"/>
      <c r="AM357" s="44"/>
      <c r="AN357" s="44"/>
    </row>
    <row r="358" spans="34:40" ht="14.25" customHeight="1" x14ac:dyDescent="0.3">
      <c r="AH358" s="44"/>
      <c r="AI358" s="49"/>
      <c r="AJ358" s="44"/>
      <c r="AK358" s="44"/>
      <c r="AL358" s="44"/>
      <c r="AM358" s="44"/>
      <c r="AN358" s="44"/>
    </row>
    <row r="359" spans="34:40" ht="14.25" customHeight="1" x14ac:dyDescent="0.3">
      <c r="AH359" s="44"/>
      <c r="AI359" s="49"/>
      <c r="AJ359" s="44"/>
      <c r="AK359" s="44"/>
      <c r="AL359" s="44"/>
      <c r="AM359" s="44"/>
      <c r="AN359" s="44"/>
    </row>
    <row r="360" spans="34:40" ht="14.25" customHeight="1" x14ac:dyDescent="0.3">
      <c r="AH360" s="44"/>
      <c r="AI360" s="49"/>
      <c r="AJ360" s="44"/>
      <c r="AK360" s="44"/>
      <c r="AL360" s="44"/>
      <c r="AM360" s="44"/>
      <c r="AN360" s="44"/>
    </row>
    <row r="361" spans="34:40" ht="14.25" customHeight="1" x14ac:dyDescent="0.3">
      <c r="AH361" s="44"/>
      <c r="AI361" s="49"/>
      <c r="AJ361" s="44"/>
      <c r="AK361" s="44"/>
      <c r="AL361" s="44"/>
      <c r="AM361" s="44"/>
      <c r="AN361" s="44"/>
    </row>
    <row r="362" spans="34:40" ht="14.25" customHeight="1" x14ac:dyDescent="0.3">
      <c r="AH362" s="44"/>
      <c r="AI362" s="49"/>
      <c r="AJ362" s="44"/>
      <c r="AK362" s="44"/>
      <c r="AL362" s="44"/>
      <c r="AM362" s="44"/>
      <c r="AN362" s="44"/>
    </row>
    <row r="363" spans="34:40" ht="14.25" customHeight="1" x14ac:dyDescent="0.3">
      <c r="AH363" s="44"/>
      <c r="AI363" s="49"/>
      <c r="AJ363" s="44"/>
      <c r="AK363" s="44"/>
      <c r="AL363" s="44"/>
      <c r="AM363" s="44"/>
      <c r="AN363" s="44"/>
    </row>
    <row r="364" spans="34:40" ht="14.25" customHeight="1" x14ac:dyDescent="0.3">
      <c r="AH364" s="44"/>
      <c r="AI364" s="49"/>
      <c r="AJ364" s="44"/>
      <c r="AK364" s="44"/>
      <c r="AL364" s="44"/>
      <c r="AM364" s="44"/>
      <c r="AN364" s="44"/>
    </row>
    <row r="365" spans="34:40" ht="14.25" customHeight="1" x14ac:dyDescent="0.3">
      <c r="AH365" s="44"/>
      <c r="AI365" s="49"/>
      <c r="AJ365" s="44"/>
      <c r="AK365" s="44"/>
      <c r="AL365" s="44"/>
      <c r="AM365" s="44"/>
      <c r="AN365" s="44"/>
    </row>
    <row r="366" spans="34:40" ht="14.25" customHeight="1" x14ac:dyDescent="0.3">
      <c r="AH366" s="44"/>
      <c r="AI366" s="49"/>
      <c r="AJ366" s="44"/>
      <c r="AK366" s="44"/>
      <c r="AL366" s="44"/>
      <c r="AM366" s="44"/>
      <c r="AN366" s="44"/>
    </row>
    <row r="367" spans="34:40" ht="14.25" customHeight="1" x14ac:dyDescent="0.3">
      <c r="AH367" s="44"/>
      <c r="AI367" s="49"/>
      <c r="AJ367" s="44"/>
      <c r="AK367" s="44"/>
      <c r="AL367" s="44"/>
      <c r="AM367" s="44"/>
      <c r="AN367" s="44"/>
    </row>
    <row r="368" spans="34:40" ht="14.25" customHeight="1" x14ac:dyDescent="0.3">
      <c r="AH368" s="44"/>
      <c r="AI368" s="49"/>
      <c r="AJ368" s="44"/>
      <c r="AK368" s="44"/>
      <c r="AL368" s="44"/>
      <c r="AM368" s="44"/>
      <c r="AN368" s="44"/>
    </row>
    <row r="369" spans="34:40" ht="14.25" customHeight="1" x14ac:dyDescent="0.3">
      <c r="AH369" s="44"/>
      <c r="AI369" s="49"/>
      <c r="AJ369" s="44"/>
      <c r="AK369" s="44"/>
      <c r="AL369" s="44"/>
      <c r="AM369" s="44"/>
      <c r="AN369" s="44"/>
    </row>
    <row r="370" spans="34:40" ht="14.25" customHeight="1" x14ac:dyDescent="0.3">
      <c r="AH370" s="44"/>
      <c r="AI370" s="49"/>
      <c r="AJ370" s="44"/>
      <c r="AK370" s="44"/>
      <c r="AL370" s="44"/>
      <c r="AM370" s="44"/>
      <c r="AN370" s="44"/>
    </row>
    <row r="371" spans="34:40" ht="14.25" customHeight="1" x14ac:dyDescent="0.3">
      <c r="AH371" s="44"/>
      <c r="AI371" s="49"/>
      <c r="AJ371" s="44"/>
      <c r="AK371" s="44"/>
      <c r="AL371" s="44"/>
      <c r="AM371" s="44"/>
      <c r="AN371" s="44"/>
    </row>
    <row r="372" spans="34:40" ht="14.25" customHeight="1" x14ac:dyDescent="0.3">
      <c r="AH372" s="44"/>
      <c r="AI372" s="49"/>
      <c r="AJ372" s="44"/>
      <c r="AK372" s="44"/>
      <c r="AL372" s="44"/>
      <c r="AM372" s="44"/>
      <c r="AN372" s="44"/>
    </row>
    <row r="373" spans="34:40" ht="14.25" customHeight="1" x14ac:dyDescent="0.3">
      <c r="AH373" s="44"/>
      <c r="AI373" s="49"/>
      <c r="AJ373" s="44"/>
      <c r="AK373" s="44"/>
      <c r="AL373" s="44"/>
      <c r="AM373" s="44"/>
      <c r="AN373" s="44"/>
    </row>
    <row r="374" spans="34:40" ht="14.25" customHeight="1" x14ac:dyDescent="0.3">
      <c r="AH374" s="44"/>
      <c r="AI374" s="49"/>
      <c r="AJ374" s="44"/>
      <c r="AK374" s="44"/>
      <c r="AL374" s="44"/>
      <c r="AM374" s="44"/>
      <c r="AN374" s="44"/>
    </row>
    <row r="375" spans="34:40" ht="14.25" customHeight="1" x14ac:dyDescent="0.3">
      <c r="AH375" s="44"/>
      <c r="AI375" s="49"/>
      <c r="AJ375" s="44"/>
      <c r="AK375" s="44"/>
      <c r="AL375" s="44"/>
      <c r="AM375" s="44"/>
      <c r="AN375" s="44"/>
    </row>
    <row r="376" spans="34:40" ht="14.25" customHeight="1" x14ac:dyDescent="0.3">
      <c r="AH376" s="44"/>
      <c r="AI376" s="49"/>
      <c r="AJ376" s="44"/>
      <c r="AK376" s="44"/>
      <c r="AL376" s="44"/>
      <c r="AM376" s="44"/>
      <c r="AN376" s="44"/>
    </row>
    <row r="377" spans="34:40" ht="14.25" customHeight="1" x14ac:dyDescent="0.3">
      <c r="AH377" s="44"/>
      <c r="AI377" s="49"/>
      <c r="AJ377" s="44"/>
      <c r="AK377" s="44"/>
      <c r="AL377" s="44"/>
      <c r="AM377" s="44"/>
      <c r="AN377" s="44"/>
    </row>
    <row r="378" spans="34:40" ht="14.25" customHeight="1" x14ac:dyDescent="0.3">
      <c r="AH378" s="44"/>
      <c r="AI378" s="49"/>
      <c r="AJ378" s="44"/>
      <c r="AK378" s="44"/>
      <c r="AL378" s="44"/>
      <c r="AM378" s="44"/>
      <c r="AN378" s="44"/>
    </row>
    <row r="379" spans="34:40" ht="14.25" customHeight="1" x14ac:dyDescent="0.3">
      <c r="AH379" s="44"/>
      <c r="AI379" s="49"/>
      <c r="AJ379" s="44"/>
      <c r="AK379" s="44"/>
      <c r="AL379" s="44"/>
      <c r="AM379" s="44"/>
      <c r="AN379" s="44"/>
    </row>
    <row r="380" spans="34:40" ht="14.25" customHeight="1" x14ac:dyDescent="0.3">
      <c r="AH380" s="44"/>
      <c r="AI380" s="49"/>
      <c r="AJ380" s="44"/>
      <c r="AK380" s="44"/>
      <c r="AL380" s="44"/>
      <c r="AM380" s="44"/>
      <c r="AN380" s="44"/>
    </row>
    <row r="381" spans="34:40" ht="14.25" customHeight="1" x14ac:dyDescent="0.3">
      <c r="AH381" s="44"/>
      <c r="AI381" s="49"/>
      <c r="AJ381" s="44"/>
      <c r="AK381" s="44"/>
      <c r="AL381" s="44"/>
      <c r="AM381" s="44"/>
      <c r="AN381" s="44"/>
    </row>
    <row r="382" spans="34:40" ht="14.25" customHeight="1" x14ac:dyDescent="0.3">
      <c r="AH382" s="44"/>
      <c r="AI382" s="49"/>
      <c r="AJ382" s="44"/>
      <c r="AK382" s="44"/>
      <c r="AL382" s="44"/>
      <c r="AM382" s="44"/>
      <c r="AN382" s="44"/>
    </row>
    <row r="383" spans="34:40" ht="14.25" customHeight="1" x14ac:dyDescent="0.3">
      <c r="AH383" s="44"/>
      <c r="AI383" s="49"/>
      <c r="AJ383" s="44"/>
      <c r="AK383" s="44"/>
      <c r="AL383" s="44"/>
      <c r="AM383" s="44"/>
      <c r="AN383" s="44"/>
    </row>
    <row r="384" spans="34:40" ht="14.25" customHeight="1" x14ac:dyDescent="0.3">
      <c r="AH384" s="44"/>
      <c r="AI384" s="49"/>
      <c r="AJ384" s="44"/>
      <c r="AK384" s="44"/>
      <c r="AL384" s="44"/>
      <c r="AM384" s="44"/>
      <c r="AN384" s="44"/>
    </row>
    <row r="385" spans="34:40" ht="14.25" customHeight="1" x14ac:dyDescent="0.3">
      <c r="AH385" s="44"/>
      <c r="AI385" s="49"/>
      <c r="AJ385" s="44"/>
      <c r="AK385" s="44"/>
      <c r="AL385" s="44"/>
      <c r="AM385" s="44"/>
      <c r="AN385" s="44"/>
    </row>
    <row r="386" spans="34:40" ht="14.25" customHeight="1" x14ac:dyDescent="0.3">
      <c r="AH386" s="44"/>
      <c r="AI386" s="49"/>
      <c r="AJ386" s="44"/>
      <c r="AK386" s="44"/>
      <c r="AL386" s="44"/>
      <c r="AM386" s="44"/>
      <c r="AN386" s="44"/>
    </row>
    <row r="387" spans="34:40" ht="14.25" customHeight="1" x14ac:dyDescent="0.3">
      <c r="AH387" s="44"/>
      <c r="AI387" s="49"/>
      <c r="AJ387" s="44"/>
      <c r="AK387" s="44"/>
      <c r="AL387" s="44"/>
      <c r="AM387" s="44"/>
      <c r="AN387" s="44"/>
    </row>
    <row r="388" spans="34:40" ht="14.25" customHeight="1" x14ac:dyDescent="0.3">
      <c r="AH388" s="44"/>
      <c r="AI388" s="49"/>
      <c r="AJ388" s="44"/>
      <c r="AK388" s="44"/>
      <c r="AL388" s="44"/>
      <c r="AM388" s="44"/>
      <c r="AN388" s="44"/>
    </row>
    <row r="389" spans="34:40" ht="14.25" customHeight="1" x14ac:dyDescent="0.3">
      <c r="AH389" s="44"/>
      <c r="AI389" s="49"/>
      <c r="AJ389" s="44"/>
      <c r="AK389" s="44"/>
      <c r="AL389" s="44"/>
      <c r="AM389" s="44"/>
      <c r="AN389" s="44"/>
    </row>
    <row r="390" spans="34:40" ht="14.25" customHeight="1" x14ac:dyDescent="0.3">
      <c r="AH390" s="44"/>
      <c r="AI390" s="49"/>
      <c r="AJ390" s="44"/>
      <c r="AK390" s="44"/>
      <c r="AL390" s="44"/>
      <c r="AM390" s="44"/>
      <c r="AN390" s="44"/>
    </row>
    <row r="391" spans="34:40" ht="14.25" customHeight="1" x14ac:dyDescent="0.3">
      <c r="AH391" s="44"/>
      <c r="AI391" s="49"/>
      <c r="AJ391" s="44"/>
      <c r="AK391" s="44"/>
      <c r="AL391" s="44"/>
      <c r="AM391" s="44"/>
      <c r="AN391" s="44"/>
    </row>
    <row r="392" spans="34:40" ht="14.25" customHeight="1" x14ac:dyDescent="0.3">
      <c r="AH392" s="44"/>
      <c r="AI392" s="49"/>
      <c r="AJ392" s="44"/>
      <c r="AK392" s="44"/>
      <c r="AL392" s="44"/>
      <c r="AM392" s="44"/>
      <c r="AN392" s="44"/>
    </row>
    <row r="393" spans="34:40" ht="14.25" customHeight="1" x14ac:dyDescent="0.3">
      <c r="AH393" s="44"/>
      <c r="AI393" s="49"/>
      <c r="AJ393" s="44"/>
      <c r="AK393" s="44"/>
      <c r="AL393" s="44"/>
      <c r="AM393" s="44"/>
      <c r="AN393" s="44"/>
    </row>
    <row r="394" spans="34:40" ht="14.25" customHeight="1" x14ac:dyDescent="0.3">
      <c r="AH394" s="44"/>
      <c r="AI394" s="49"/>
      <c r="AJ394" s="44"/>
      <c r="AK394" s="44"/>
      <c r="AL394" s="44"/>
      <c r="AM394" s="44"/>
      <c r="AN394" s="44"/>
    </row>
    <row r="395" spans="34:40" ht="14.25" customHeight="1" x14ac:dyDescent="0.3">
      <c r="AH395" s="44"/>
      <c r="AI395" s="49"/>
      <c r="AJ395" s="44"/>
      <c r="AK395" s="44"/>
      <c r="AL395" s="44"/>
      <c r="AM395" s="44"/>
      <c r="AN395" s="44"/>
    </row>
    <row r="396" spans="34:40" ht="14.25" customHeight="1" x14ac:dyDescent="0.3">
      <c r="AH396" s="44"/>
      <c r="AI396" s="49"/>
      <c r="AJ396" s="44"/>
      <c r="AK396" s="44"/>
      <c r="AL396" s="44"/>
      <c r="AM396" s="44"/>
      <c r="AN396" s="44"/>
    </row>
    <row r="397" spans="34:40" ht="14.25" customHeight="1" x14ac:dyDescent="0.3">
      <c r="AH397" s="44"/>
      <c r="AI397" s="49"/>
      <c r="AJ397" s="44"/>
      <c r="AK397" s="44"/>
      <c r="AL397" s="44"/>
      <c r="AM397" s="44"/>
      <c r="AN397" s="44"/>
    </row>
    <row r="398" spans="34:40" ht="14.25" customHeight="1" x14ac:dyDescent="0.3">
      <c r="AH398" s="44"/>
      <c r="AI398" s="49"/>
      <c r="AJ398" s="44"/>
      <c r="AK398" s="44"/>
      <c r="AL398" s="44"/>
      <c r="AM398" s="44"/>
      <c r="AN398" s="44"/>
    </row>
    <row r="399" spans="34:40" ht="14.25" customHeight="1" x14ac:dyDescent="0.3">
      <c r="AH399" s="44"/>
      <c r="AI399" s="49"/>
      <c r="AJ399" s="44"/>
      <c r="AK399" s="44"/>
      <c r="AL399" s="44"/>
      <c r="AM399" s="44"/>
      <c r="AN399" s="44"/>
    </row>
    <row r="400" spans="34:40" ht="14.25" customHeight="1" x14ac:dyDescent="0.3">
      <c r="AH400" s="44"/>
      <c r="AI400" s="49"/>
      <c r="AJ400" s="44"/>
      <c r="AK400" s="44"/>
      <c r="AL400" s="44"/>
      <c r="AM400" s="44"/>
      <c r="AN400" s="44"/>
    </row>
    <row r="401" spans="34:40" ht="14.25" customHeight="1" x14ac:dyDescent="0.3">
      <c r="AH401" s="44"/>
      <c r="AI401" s="49"/>
      <c r="AJ401" s="44"/>
      <c r="AK401" s="44"/>
      <c r="AL401" s="44"/>
      <c r="AM401" s="44"/>
      <c r="AN401" s="44"/>
    </row>
    <row r="402" spans="34:40" ht="14.25" customHeight="1" x14ac:dyDescent="0.3">
      <c r="AH402" s="44"/>
      <c r="AI402" s="49"/>
      <c r="AJ402" s="44"/>
      <c r="AK402" s="44"/>
      <c r="AL402" s="44"/>
      <c r="AM402" s="44"/>
      <c r="AN402" s="44"/>
    </row>
    <row r="403" spans="34:40" ht="14.25" customHeight="1" x14ac:dyDescent="0.3">
      <c r="AH403" s="44"/>
      <c r="AI403" s="49"/>
      <c r="AJ403" s="44"/>
      <c r="AK403" s="44"/>
      <c r="AL403" s="44"/>
      <c r="AM403" s="44"/>
      <c r="AN403" s="44"/>
    </row>
    <row r="404" spans="34:40" ht="14.25" customHeight="1" x14ac:dyDescent="0.3">
      <c r="AH404" s="44"/>
      <c r="AI404" s="49"/>
      <c r="AJ404" s="44"/>
      <c r="AK404" s="44"/>
      <c r="AL404" s="44"/>
      <c r="AM404" s="44"/>
      <c r="AN404" s="44"/>
    </row>
    <row r="405" spans="34:40" ht="14.25" customHeight="1" x14ac:dyDescent="0.3">
      <c r="AH405" s="44"/>
      <c r="AI405" s="49"/>
      <c r="AJ405" s="44"/>
      <c r="AK405" s="44"/>
      <c r="AL405" s="44"/>
      <c r="AM405" s="44"/>
      <c r="AN405" s="44"/>
    </row>
    <row r="406" spans="34:40" ht="14.25" customHeight="1" x14ac:dyDescent="0.3">
      <c r="AH406" s="44"/>
      <c r="AI406" s="49"/>
      <c r="AJ406" s="44"/>
      <c r="AK406" s="44"/>
      <c r="AL406" s="44"/>
      <c r="AM406" s="44"/>
      <c r="AN406" s="44"/>
    </row>
    <row r="407" spans="34:40" ht="14.25" customHeight="1" x14ac:dyDescent="0.3">
      <c r="AH407" s="44"/>
      <c r="AI407" s="49"/>
      <c r="AJ407" s="44"/>
      <c r="AK407" s="44"/>
      <c r="AL407" s="44"/>
      <c r="AM407" s="44"/>
      <c r="AN407" s="44"/>
    </row>
    <row r="408" spans="34:40" ht="14.25" customHeight="1" x14ac:dyDescent="0.3">
      <c r="AH408" s="44"/>
      <c r="AI408" s="49"/>
      <c r="AJ408" s="44"/>
      <c r="AK408" s="44"/>
      <c r="AL408" s="44"/>
      <c r="AM408" s="44"/>
      <c r="AN408" s="44"/>
    </row>
    <row r="409" spans="34:40" ht="14.25" customHeight="1" x14ac:dyDescent="0.3">
      <c r="AH409" s="44"/>
      <c r="AI409" s="49"/>
      <c r="AJ409" s="44"/>
      <c r="AK409" s="44"/>
      <c r="AL409" s="44"/>
      <c r="AM409" s="44"/>
      <c r="AN409" s="44"/>
    </row>
    <row r="410" spans="34:40" ht="14.25" customHeight="1" x14ac:dyDescent="0.3">
      <c r="AH410" s="44"/>
      <c r="AI410" s="49"/>
      <c r="AJ410" s="44"/>
      <c r="AK410" s="44"/>
      <c r="AL410" s="44"/>
      <c r="AM410" s="44"/>
      <c r="AN410" s="44"/>
    </row>
    <row r="411" spans="34:40" ht="14.25" customHeight="1" x14ac:dyDescent="0.3">
      <c r="AH411" s="44"/>
      <c r="AI411" s="49"/>
      <c r="AJ411" s="44"/>
      <c r="AK411" s="44"/>
      <c r="AL411" s="44"/>
      <c r="AM411" s="44"/>
      <c r="AN411" s="44"/>
    </row>
    <row r="412" spans="34:40" ht="14.25" customHeight="1" x14ac:dyDescent="0.3">
      <c r="AH412" s="44"/>
      <c r="AI412" s="49"/>
      <c r="AJ412" s="44"/>
      <c r="AK412" s="44"/>
      <c r="AL412" s="44"/>
      <c r="AM412" s="44"/>
      <c r="AN412" s="44"/>
    </row>
    <row r="413" spans="34:40" ht="14.25" customHeight="1" x14ac:dyDescent="0.3">
      <c r="AH413" s="44"/>
      <c r="AI413" s="49"/>
      <c r="AJ413" s="44"/>
      <c r="AK413" s="44"/>
      <c r="AL413" s="44"/>
      <c r="AM413" s="44"/>
      <c r="AN413" s="44"/>
    </row>
    <row r="414" spans="34:40" ht="14.25" customHeight="1" x14ac:dyDescent="0.3">
      <c r="AH414" s="44"/>
      <c r="AI414" s="49"/>
      <c r="AJ414" s="44"/>
      <c r="AK414" s="44"/>
      <c r="AL414" s="44"/>
      <c r="AM414" s="44"/>
      <c r="AN414" s="44"/>
    </row>
    <row r="415" spans="34:40" ht="14.25" customHeight="1" x14ac:dyDescent="0.3">
      <c r="AH415" s="44"/>
      <c r="AI415" s="49"/>
      <c r="AJ415" s="44"/>
      <c r="AK415" s="44"/>
      <c r="AL415" s="44"/>
      <c r="AM415" s="44"/>
      <c r="AN415" s="44"/>
    </row>
    <row r="416" spans="34:40" ht="14.25" customHeight="1" x14ac:dyDescent="0.3">
      <c r="AH416" s="44"/>
      <c r="AI416" s="49"/>
      <c r="AJ416" s="44"/>
      <c r="AK416" s="44"/>
      <c r="AL416" s="44"/>
      <c r="AM416" s="44"/>
      <c r="AN416" s="44"/>
    </row>
    <row r="417" spans="34:40" ht="14.25" customHeight="1" x14ac:dyDescent="0.3">
      <c r="AH417" s="44"/>
      <c r="AI417" s="49"/>
      <c r="AJ417" s="44"/>
      <c r="AK417" s="44"/>
      <c r="AL417" s="44"/>
      <c r="AM417" s="44"/>
      <c r="AN417" s="44"/>
    </row>
    <row r="418" spans="34:40" ht="14.25" customHeight="1" x14ac:dyDescent="0.3">
      <c r="AH418" s="44"/>
      <c r="AI418" s="49"/>
      <c r="AJ418" s="44"/>
      <c r="AK418" s="44"/>
      <c r="AL418" s="44"/>
      <c r="AM418" s="44"/>
      <c r="AN418" s="44"/>
    </row>
    <row r="419" spans="34:40" ht="14.25" customHeight="1" x14ac:dyDescent="0.3">
      <c r="AH419" s="44"/>
      <c r="AI419" s="49"/>
      <c r="AJ419" s="44"/>
      <c r="AK419" s="44"/>
      <c r="AL419" s="44"/>
      <c r="AM419" s="44"/>
      <c r="AN419" s="44"/>
    </row>
    <row r="420" spans="34:40" ht="14.25" customHeight="1" x14ac:dyDescent="0.3">
      <c r="AH420" s="44"/>
      <c r="AI420" s="49"/>
      <c r="AJ420" s="44"/>
      <c r="AK420" s="44"/>
      <c r="AL420" s="44"/>
      <c r="AM420" s="44"/>
      <c r="AN420" s="44"/>
    </row>
    <row r="421" spans="34:40" ht="14.25" customHeight="1" x14ac:dyDescent="0.3">
      <c r="AH421" s="44"/>
      <c r="AI421" s="49"/>
      <c r="AJ421" s="44"/>
      <c r="AK421" s="44"/>
      <c r="AL421" s="44"/>
      <c r="AM421" s="44"/>
      <c r="AN421" s="44"/>
    </row>
    <row r="422" spans="34:40" ht="14.25" customHeight="1" x14ac:dyDescent="0.3">
      <c r="AH422" s="44"/>
      <c r="AI422" s="49"/>
      <c r="AJ422" s="44"/>
      <c r="AK422" s="44"/>
      <c r="AL422" s="44"/>
      <c r="AM422" s="44"/>
      <c r="AN422" s="44"/>
    </row>
    <row r="423" spans="34:40" ht="14.25" customHeight="1" x14ac:dyDescent="0.3">
      <c r="AH423" s="44"/>
      <c r="AI423" s="49"/>
      <c r="AJ423" s="44"/>
      <c r="AK423" s="44"/>
      <c r="AL423" s="44"/>
      <c r="AM423" s="44"/>
      <c r="AN423" s="44"/>
    </row>
    <row r="424" spans="34:40" ht="14.25" customHeight="1" x14ac:dyDescent="0.3">
      <c r="AH424" s="44"/>
      <c r="AI424" s="49"/>
      <c r="AJ424" s="44"/>
      <c r="AK424" s="44"/>
      <c r="AL424" s="44"/>
      <c r="AM424" s="44"/>
      <c r="AN424" s="44"/>
    </row>
    <row r="425" spans="34:40" ht="14.25" customHeight="1" x14ac:dyDescent="0.3">
      <c r="AH425" s="44"/>
      <c r="AI425" s="49"/>
      <c r="AJ425" s="44"/>
      <c r="AK425" s="44"/>
      <c r="AL425" s="44"/>
      <c r="AM425" s="44"/>
      <c r="AN425" s="44"/>
    </row>
    <row r="426" spans="34:40" ht="14.25" customHeight="1" x14ac:dyDescent="0.3">
      <c r="AH426" s="44"/>
      <c r="AI426" s="49"/>
      <c r="AJ426" s="44"/>
      <c r="AK426" s="44"/>
      <c r="AL426" s="44"/>
      <c r="AM426" s="44"/>
      <c r="AN426" s="44"/>
    </row>
    <row r="427" spans="34:40" ht="14.25" customHeight="1" x14ac:dyDescent="0.3">
      <c r="AH427" s="44"/>
      <c r="AI427" s="49"/>
      <c r="AJ427" s="44"/>
      <c r="AK427" s="44"/>
      <c r="AL427" s="44"/>
      <c r="AM427" s="44"/>
      <c r="AN427" s="44"/>
    </row>
    <row r="428" spans="34:40" ht="14.25" customHeight="1" x14ac:dyDescent="0.3">
      <c r="AH428" s="44"/>
      <c r="AI428" s="49"/>
      <c r="AJ428" s="44"/>
      <c r="AK428" s="44"/>
      <c r="AL428" s="44"/>
      <c r="AM428" s="44"/>
      <c r="AN428" s="44"/>
    </row>
    <row r="429" spans="34:40" ht="14.25" customHeight="1" x14ac:dyDescent="0.3">
      <c r="AH429" s="44"/>
      <c r="AI429" s="49"/>
      <c r="AJ429" s="44"/>
      <c r="AK429" s="44"/>
      <c r="AL429" s="44"/>
      <c r="AM429" s="44"/>
      <c r="AN429" s="44"/>
    </row>
    <row r="430" spans="34:40" ht="14.25" customHeight="1" x14ac:dyDescent="0.3">
      <c r="AH430" s="44"/>
      <c r="AI430" s="49"/>
      <c r="AJ430" s="44"/>
      <c r="AK430" s="44"/>
      <c r="AL430" s="44"/>
      <c r="AM430" s="44"/>
      <c r="AN430" s="44"/>
    </row>
    <row r="431" spans="34:40" ht="14.25" customHeight="1" x14ac:dyDescent="0.3">
      <c r="AH431" s="44"/>
      <c r="AI431" s="49"/>
      <c r="AJ431" s="44"/>
      <c r="AK431" s="44"/>
      <c r="AL431" s="44"/>
      <c r="AM431" s="44"/>
      <c r="AN431" s="44"/>
    </row>
    <row r="432" spans="34:40" ht="14.25" customHeight="1" x14ac:dyDescent="0.3">
      <c r="AH432" s="44"/>
      <c r="AI432" s="49"/>
      <c r="AJ432" s="44"/>
      <c r="AK432" s="44"/>
      <c r="AL432" s="44"/>
      <c r="AM432" s="44"/>
      <c r="AN432" s="44"/>
    </row>
    <row r="433" spans="34:40" ht="14.25" customHeight="1" x14ac:dyDescent="0.3">
      <c r="AH433" s="44"/>
      <c r="AI433" s="49"/>
      <c r="AJ433" s="44"/>
      <c r="AK433" s="44"/>
      <c r="AL433" s="44"/>
      <c r="AM433" s="44"/>
      <c r="AN433" s="44"/>
    </row>
    <row r="434" spans="34:40" ht="14.25" customHeight="1" x14ac:dyDescent="0.3">
      <c r="AH434" s="44"/>
      <c r="AI434" s="49"/>
      <c r="AJ434" s="44"/>
      <c r="AK434" s="44"/>
      <c r="AL434" s="44"/>
      <c r="AM434" s="44"/>
      <c r="AN434" s="44"/>
    </row>
    <row r="435" spans="34:40" ht="14.25" customHeight="1" x14ac:dyDescent="0.3">
      <c r="AH435" s="44"/>
      <c r="AI435" s="49"/>
      <c r="AJ435" s="44"/>
      <c r="AK435" s="44"/>
      <c r="AL435" s="44"/>
      <c r="AM435" s="44"/>
      <c r="AN435" s="44"/>
    </row>
    <row r="436" spans="34:40" ht="14.25" customHeight="1" x14ac:dyDescent="0.3">
      <c r="AH436" s="44"/>
      <c r="AI436" s="49"/>
      <c r="AJ436" s="44"/>
      <c r="AK436" s="44"/>
      <c r="AL436" s="44"/>
      <c r="AM436" s="44"/>
      <c r="AN436" s="44"/>
    </row>
    <row r="437" spans="34:40" ht="14.25" customHeight="1" x14ac:dyDescent="0.3">
      <c r="AH437" s="44"/>
      <c r="AI437" s="49"/>
      <c r="AJ437" s="44"/>
      <c r="AK437" s="44"/>
      <c r="AL437" s="44"/>
      <c r="AM437" s="44"/>
      <c r="AN437" s="44"/>
    </row>
    <row r="438" spans="34:40" ht="14.25" customHeight="1" x14ac:dyDescent="0.3">
      <c r="AH438" s="44"/>
      <c r="AI438" s="49"/>
      <c r="AJ438" s="44"/>
      <c r="AK438" s="44"/>
      <c r="AL438" s="44"/>
      <c r="AM438" s="44"/>
      <c r="AN438" s="44"/>
    </row>
    <row r="439" spans="34:40" ht="14.25" customHeight="1" x14ac:dyDescent="0.3">
      <c r="AH439" s="44"/>
      <c r="AI439" s="49"/>
      <c r="AJ439" s="44"/>
      <c r="AK439" s="44"/>
      <c r="AL439" s="44"/>
      <c r="AM439" s="44"/>
      <c r="AN439" s="44"/>
    </row>
    <row r="440" spans="34:40" ht="14.25" customHeight="1" x14ac:dyDescent="0.3">
      <c r="AH440" s="44"/>
      <c r="AI440" s="49"/>
      <c r="AJ440" s="44"/>
      <c r="AK440" s="44"/>
      <c r="AL440" s="44"/>
      <c r="AM440" s="44"/>
      <c r="AN440" s="44"/>
    </row>
    <row r="441" spans="34:40" ht="14.25" customHeight="1" x14ac:dyDescent="0.3">
      <c r="AH441" s="44"/>
      <c r="AI441" s="49"/>
      <c r="AJ441" s="44"/>
      <c r="AK441" s="44"/>
      <c r="AL441" s="44"/>
      <c r="AM441" s="44"/>
      <c r="AN441" s="44"/>
    </row>
    <row r="442" spans="34:40" ht="14.25" customHeight="1" x14ac:dyDescent="0.3">
      <c r="AH442" s="44"/>
      <c r="AI442" s="49"/>
      <c r="AJ442" s="44"/>
      <c r="AK442" s="44"/>
      <c r="AL442" s="44"/>
      <c r="AM442" s="44"/>
      <c r="AN442" s="44"/>
    </row>
    <row r="443" spans="34:40" ht="14.25" customHeight="1" x14ac:dyDescent="0.3">
      <c r="AH443" s="44"/>
      <c r="AI443" s="49"/>
      <c r="AJ443" s="44"/>
      <c r="AK443" s="44"/>
      <c r="AL443" s="44"/>
      <c r="AM443" s="44"/>
      <c r="AN443" s="44"/>
    </row>
    <row r="444" spans="34:40" ht="14.25" customHeight="1" x14ac:dyDescent="0.3">
      <c r="AH444" s="44"/>
      <c r="AI444" s="49"/>
      <c r="AJ444" s="44"/>
      <c r="AK444" s="44"/>
      <c r="AL444" s="44"/>
      <c r="AM444" s="44"/>
      <c r="AN444" s="44"/>
    </row>
    <row r="445" spans="34:40" ht="14.25" customHeight="1" x14ac:dyDescent="0.3">
      <c r="AH445" s="44"/>
      <c r="AI445" s="49"/>
      <c r="AJ445" s="44"/>
      <c r="AK445" s="44"/>
      <c r="AL445" s="44"/>
      <c r="AM445" s="44"/>
      <c r="AN445" s="44"/>
    </row>
    <row r="446" spans="34:40" ht="14.25" customHeight="1" x14ac:dyDescent="0.3">
      <c r="AH446" s="44"/>
      <c r="AI446" s="49"/>
      <c r="AJ446" s="44"/>
      <c r="AK446" s="44"/>
      <c r="AL446" s="44"/>
      <c r="AM446" s="44"/>
      <c r="AN446" s="44"/>
    </row>
    <row r="447" spans="34:40" ht="14.25" customHeight="1" x14ac:dyDescent="0.3">
      <c r="AH447" s="44"/>
      <c r="AI447" s="49"/>
      <c r="AJ447" s="44"/>
      <c r="AK447" s="44"/>
      <c r="AL447" s="44"/>
      <c r="AM447" s="44"/>
      <c r="AN447" s="44"/>
    </row>
    <row r="448" spans="34:40" ht="14.25" customHeight="1" x14ac:dyDescent="0.3">
      <c r="AH448" s="44"/>
      <c r="AI448" s="49"/>
      <c r="AJ448" s="44"/>
      <c r="AK448" s="44"/>
      <c r="AL448" s="44"/>
      <c r="AM448" s="44"/>
      <c r="AN448" s="44"/>
    </row>
    <row r="449" spans="34:40" ht="14.25" customHeight="1" x14ac:dyDescent="0.3">
      <c r="AH449" s="44"/>
      <c r="AI449" s="49"/>
      <c r="AJ449" s="44"/>
      <c r="AK449" s="44"/>
      <c r="AL449" s="44"/>
      <c r="AM449" s="44"/>
      <c r="AN449" s="44"/>
    </row>
    <row r="450" spans="34:40" ht="14.25" customHeight="1" x14ac:dyDescent="0.3">
      <c r="AH450" s="44"/>
      <c r="AI450" s="49"/>
      <c r="AJ450" s="44"/>
      <c r="AK450" s="44"/>
      <c r="AL450" s="44"/>
      <c r="AM450" s="44"/>
      <c r="AN450" s="44"/>
    </row>
    <row r="451" spans="34:40" ht="14.25" customHeight="1" x14ac:dyDescent="0.3">
      <c r="AH451" s="44"/>
      <c r="AI451" s="49"/>
      <c r="AJ451" s="44"/>
      <c r="AK451" s="44"/>
      <c r="AL451" s="44"/>
      <c r="AM451" s="44"/>
      <c r="AN451" s="44"/>
    </row>
    <row r="452" spans="34:40" ht="14.25" customHeight="1" x14ac:dyDescent="0.3">
      <c r="AH452" s="44"/>
      <c r="AI452" s="49"/>
      <c r="AJ452" s="44"/>
      <c r="AK452" s="44"/>
      <c r="AL452" s="44"/>
      <c r="AM452" s="44"/>
      <c r="AN452" s="44"/>
    </row>
    <row r="453" spans="34:40" ht="14.25" customHeight="1" x14ac:dyDescent="0.3">
      <c r="AH453" s="44"/>
      <c r="AI453" s="49"/>
      <c r="AJ453" s="44"/>
      <c r="AK453" s="44"/>
      <c r="AL453" s="44"/>
      <c r="AM453" s="44"/>
      <c r="AN453" s="44"/>
    </row>
    <row r="454" spans="34:40" ht="14.25" customHeight="1" x14ac:dyDescent="0.3">
      <c r="AH454" s="44"/>
      <c r="AI454" s="49"/>
      <c r="AJ454" s="44"/>
      <c r="AK454" s="44"/>
      <c r="AL454" s="44"/>
      <c r="AM454" s="44"/>
      <c r="AN454" s="44"/>
    </row>
    <row r="455" spans="34:40" ht="14.25" customHeight="1" x14ac:dyDescent="0.3">
      <c r="AH455" s="44"/>
      <c r="AI455" s="49"/>
      <c r="AJ455" s="44"/>
      <c r="AK455" s="44"/>
      <c r="AL455" s="44"/>
      <c r="AM455" s="44"/>
      <c r="AN455" s="44"/>
    </row>
    <row r="456" spans="34:40" ht="14.25" customHeight="1" x14ac:dyDescent="0.3">
      <c r="AH456" s="44"/>
      <c r="AI456" s="49"/>
      <c r="AJ456" s="44"/>
      <c r="AK456" s="44"/>
      <c r="AL456" s="44"/>
      <c r="AM456" s="44"/>
      <c r="AN456" s="44"/>
    </row>
    <row r="457" spans="34:40" ht="14.25" customHeight="1" x14ac:dyDescent="0.3">
      <c r="AH457" s="44"/>
      <c r="AI457" s="49"/>
      <c r="AJ457" s="44"/>
      <c r="AK457" s="44"/>
      <c r="AL457" s="44"/>
      <c r="AM457" s="44"/>
      <c r="AN457" s="44"/>
    </row>
    <row r="458" spans="34:40" ht="14.25" customHeight="1" x14ac:dyDescent="0.3">
      <c r="AH458" s="44"/>
      <c r="AI458" s="49"/>
      <c r="AJ458" s="44"/>
      <c r="AK458" s="44"/>
      <c r="AL458" s="44"/>
      <c r="AM458" s="44"/>
      <c r="AN458" s="44"/>
    </row>
    <row r="459" spans="34:40" ht="14.25" customHeight="1" x14ac:dyDescent="0.3">
      <c r="AH459" s="44"/>
      <c r="AI459" s="49"/>
      <c r="AJ459" s="44"/>
      <c r="AK459" s="44"/>
      <c r="AL459" s="44"/>
      <c r="AM459" s="44"/>
      <c r="AN459" s="44"/>
    </row>
    <row r="460" spans="34:40" ht="14.25" customHeight="1" x14ac:dyDescent="0.3">
      <c r="AH460" s="44"/>
      <c r="AI460" s="49"/>
      <c r="AJ460" s="44"/>
      <c r="AK460" s="44"/>
      <c r="AL460" s="44"/>
      <c r="AM460" s="44"/>
      <c r="AN460" s="44"/>
    </row>
    <row r="461" spans="34:40" ht="14.25" customHeight="1" x14ac:dyDescent="0.3">
      <c r="AH461" s="44"/>
      <c r="AI461" s="49"/>
      <c r="AJ461" s="44"/>
      <c r="AK461" s="44"/>
      <c r="AL461" s="44"/>
      <c r="AM461" s="44"/>
      <c r="AN461" s="44"/>
    </row>
    <row r="462" spans="34:40" ht="14.25" customHeight="1" x14ac:dyDescent="0.3">
      <c r="AH462" s="44"/>
      <c r="AI462" s="49"/>
      <c r="AJ462" s="44"/>
      <c r="AK462" s="44"/>
      <c r="AL462" s="44"/>
      <c r="AM462" s="44"/>
      <c r="AN462" s="44"/>
    </row>
    <row r="463" spans="34:40" ht="14.25" customHeight="1" x14ac:dyDescent="0.3">
      <c r="AH463" s="44"/>
      <c r="AI463" s="49"/>
      <c r="AJ463" s="44"/>
      <c r="AK463" s="44"/>
      <c r="AL463" s="44"/>
      <c r="AM463" s="44"/>
      <c r="AN463" s="44"/>
    </row>
    <row r="464" spans="34:40" ht="14.25" customHeight="1" x14ac:dyDescent="0.3">
      <c r="AH464" s="44"/>
      <c r="AI464" s="49"/>
      <c r="AJ464" s="44"/>
      <c r="AK464" s="44"/>
      <c r="AL464" s="44"/>
      <c r="AM464" s="44"/>
      <c r="AN464" s="44"/>
    </row>
    <row r="465" spans="34:40" ht="14.25" customHeight="1" x14ac:dyDescent="0.3">
      <c r="AH465" s="44"/>
      <c r="AI465" s="49"/>
      <c r="AJ465" s="44"/>
      <c r="AK465" s="44"/>
      <c r="AL465" s="44"/>
      <c r="AM465" s="44"/>
      <c r="AN465" s="44"/>
    </row>
    <row r="466" spans="34:40" ht="14.25" customHeight="1" x14ac:dyDescent="0.3">
      <c r="AH466" s="44"/>
      <c r="AI466" s="49"/>
      <c r="AJ466" s="44"/>
      <c r="AK466" s="44"/>
      <c r="AL466" s="44"/>
      <c r="AM466" s="44"/>
      <c r="AN466" s="44"/>
    </row>
    <row r="467" spans="34:40" ht="14.25" customHeight="1" x14ac:dyDescent="0.3">
      <c r="AH467" s="44"/>
      <c r="AI467" s="49"/>
      <c r="AJ467" s="44"/>
      <c r="AK467" s="44"/>
      <c r="AL467" s="44"/>
      <c r="AM467" s="44"/>
      <c r="AN467" s="44"/>
    </row>
    <row r="468" spans="34:40" ht="14.25" customHeight="1" x14ac:dyDescent="0.3">
      <c r="AH468" s="44"/>
      <c r="AI468" s="49"/>
      <c r="AJ468" s="44"/>
      <c r="AK468" s="44"/>
      <c r="AL468" s="44"/>
      <c r="AM468" s="44"/>
      <c r="AN468" s="44"/>
    </row>
    <row r="469" spans="34:40" ht="14.25" customHeight="1" x14ac:dyDescent="0.3">
      <c r="AH469" s="44"/>
      <c r="AI469" s="49"/>
      <c r="AJ469" s="44"/>
      <c r="AK469" s="44"/>
      <c r="AL469" s="44"/>
      <c r="AM469" s="44"/>
      <c r="AN469" s="44"/>
    </row>
    <row r="470" spans="34:40" ht="14.25" customHeight="1" x14ac:dyDescent="0.3">
      <c r="AH470" s="44"/>
      <c r="AI470" s="49"/>
      <c r="AJ470" s="44"/>
      <c r="AK470" s="44"/>
      <c r="AL470" s="44"/>
      <c r="AM470" s="44"/>
      <c r="AN470" s="44"/>
    </row>
    <row r="471" spans="34:40" ht="14.25" customHeight="1" x14ac:dyDescent="0.3">
      <c r="AH471" s="44"/>
      <c r="AI471" s="49"/>
      <c r="AJ471" s="44"/>
      <c r="AK471" s="44"/>
      <c r="AL471" s="44"/>
      <c r="AM471" s="44"/>
      <c r="AN471" s="44"/>
    </row>
    <row r="472" spans="34:40" ht="14.25" customHeight="1" x14ac:dyDescent="0.3">
      <c r="AH472" s="44"/>
      <c r="AI472" s="49"/>
      <c r="AJ472" s="44"/>
      <c r="AK472" s="44"/>
      <c r="AL472" s="44"/>
      <c r="AM472" s="44"/>
      <c r="AN472" s="44"/>
    </row>
    <row r="473" spans="34:40" ht="14.25" customHeight="1" x14ac:dyDescent="0.3">
      <c r="AH473" s="44"/>
      <c r="AI473" s="49"/>
      <c r="AJ473" s="44"/>
      <c r="AK473" s="44"/>
      <c r="AL473" s="44"/>
      <c r="AM473" s="44"/>
      <c r="AN473" s="44"/>
    </row>
    <row r="474" spans="34:40" ht="14.25" customHeight="1" x14ac:dyDescent="0.3">
      <c r="AH474" s="44"/>
      <c r="AI474" s="49"/>
      <c r="AJ474" s="44"/>
      <c r="AK474" s="44"/>
      <c r="AL474" s="44"/>
      <c r="AM474" s="44"/>
      <c r="AN474" s="44"/>
    </row>
    <row r="475" spans="34:40" ht="14.25" customHeight="1" x14ac:dyDescent="0.3">
      <c r="AH475" s="44"/>
      <c r="AI475" s="49"/>
      <c r="AJ475" s="44"/>
      <c r="AK475" s="44"/>
      <c r="AL475" s="44"/>
      <c r="AM475" s="44"/>
      <c r="AN475" s="44"/>
    </row>
    <row r="476" spans="34:40" ht="14.25" customHeight="1" x14ac:dyDescent="0.3">
      <c r="AH476" s="44"/>
      <c r="AI476" s="49"/>
      <c r="AJ476" s="44"/>
      <c r="AK476" s="44"/>
      <c r="AL476" s="44"/>
      <c r="AM476" s="44"/>
      <c r="AN476" s="44"/>
    </row>
    <row r="477" spans="34:40" ht="14.25" customHeight="1" x14ac:dyDescent="0.3">
      <c r="AH477" s="44"/>
      <c r="AI477" s="49"/>
      <c r="AJ477" s="44"/>
      <c r="AK477" s="44"/>
      <c r="AL477" s="44"/>
      <c r="AM477" s="44"/>
      <c r="AN477" s="44"/>
    </row>
    <row r="478" spans="34:40" ht="14.25" customHeight="1" x14ac:dyDescent="0.3">
      <c r="AH478" s="44"/>
      <c r="AI478" s="49"/>
      <c r="AJ478" s="44"/>
      <c r="AK478" s="44"/>
      <c r="AL478" s="44"/>
      <c r="AM478" s="44"/>
      <c r="AN478" s="44"/>
    </row>
    <row r="479" spans="34:40" ht="14.25" customHeight="1" x14ac:dyDescent="0.3">
      <c r="AH479" s="44"/>
      <c r="AI479" s="49"/>
      <c r="AJ479" s="44"/>
      <c r="AK479" s="44"/>
      <c r="AL479" s="44"/>
      <c r="AM479" s="44"/>
      <c r="AN479" s="44"/>
    </row>
    <row r="480" spans="34:40" ht="14.25" customHeight="1" x14ac:dyDescent="0.3">
      <c r="AH480" s="44"/>
      <c r="AI480" s="49"/>
      <c r="AJ480" s="44"/>
      <c r="AK480" s="44"/>
      <c r="AL480" s="44"/>
      <c r="AM480" s="44"/>
      <c r="AN480" s="44"/>
    </row>
    <row r="481" spans="34:40" ht="14.25" customHeight="1" x14ac:dyDescent="0.3">
      <c r="AH481" s="44"/>
      <c r="AI481" s="49"/>
      <c r="AJ481" s="44"/>
      <c r="AK481" s="44"/>
      <c r="AL481" s="44"/>
      <c r="AM481" s="44"/>
      <c r="AN481" s="44"/>
    </row>
    <row r="482" spans="34:40" ht="14.25" customHeight="1" x14ac:dyDescent="0.3">
      <c r="AH482" s="44"/>
      <c r="AI482" s="49"/>
      <c r="AJ482" s="44"/>
      <c r="AK482" s="44"/>
      <c r="AL482" s="44"/>
      <c r="AM482" s="44"/>
      <c r="AN482" s="44"/>
    </row>
    <row r="483" spans="34:40" ht="14.25" customHeight="1" x14ac:dyDescent="0.3">
      <c r="AH483" s="44"/>
      <c r="AI483" s="49"/>
      <c r="AJ483" s="44"/>
      <c r="AK483" s="44"/>
      <c r="AL483" s="44"/>
      <c r="AM483" s="44"/>
      <c r="AN483" s="44"/>
    </row>
    <row r="484" spans="34:40" ht="14.25" customHeight="1" x14ac:dyDescent="0.3">
      <c r="AH484" s="44"/>
      <c r="AI484" s="49"/>
      <c r="AJ484" s="44"/>
      <c r="AK484" s="44"/>
      <c r="AL484" s="44"/>
      <c r="AM484" s="44"/>
      <c r="AN484" s="44"/>
    </row>
    <row r="485" spans="34:40" ht="14.25" customHeight="1" x14ac:dyDescent="0.3">
      <c r="AH485" s="44"/>
      <c r="AI485" s="49"/>
      <c r="AJ485" s="44"/>
      <c r="AK485" s="44"/>
      <c r="AL485" s="44"/>
      <c r="AM485" s="44"/>
      <c r="AN485" s="44"/>
    </row>
    <row r="486" spans="34:40" ht="14.25" customHeight="1" x14ac:dyDescent="0.3">
      <c r="AH486" s="44"/>
      <c r="AI486" s="49"/>
      <c r="AJ486" s="44"/>
      <c r="AK486" s="44"/>
      <c r="AL486" s="44"/>
      <c r="AM486" s="44"/>
      <c r="AN486" s="44"/>
    </row>
    <row r="487" spans="34:40" ht="14.25" customHeight="1" x14ac:dyDescent="0.3">
      <c r="AH487" s="44"/>
      <c r="AI487" s="49"/>
      <c r="AJ487" s="44"/>
      <c r="AK487" s="44"/>
      <c r="AL487" s="44"/>
      <c r="AM487" s="44"/>
      <c r="AN487" s="44"/>
    </row>
    <row r="488" spans="34:40" ht="14.25" customHeight="1" x14ac:dyDescent="0.3">
      <c r="AH488" s="44"/>
      <c r="AI488" s="49"/>
      <c r="AJ488" s="44"/>
      <c r="AK488" s="44"/>
      <c r="AL488" s="44"/>
      <c r="AM488" s="44"/>
      <c r="AN488" s="44"/>
    </row>
    <row r="489" spans="34:40" ht="14.25" customHeight="1" x14ac:dyDescent="0.3">
      <c r="AH489" s="44"/>
      <c r="AI489" s="49"/>
      <c r="AJ489" s="44"/>
      <c r="AK489" s="44"/>
      <c r="AL489" s="44"/>
      <c r="AM489" s="44"/>
      <c r="AN489" s="44"/>
    </row>
    <row r="490" spans="34:40" ht="14.25" customHeight="1" x14ac:dyDescent="0.3">
      <c r="AH490" s="44"/>
      <c r="AI490" s="49"/>
      <c r="AJ490" s="44"/>
      <c r="AK490" s="44"/>
      <c r="AL490" s="44"/>
      <c r="AM490" s="44"/>
      <c r="AN490" s="44"/>
    </row>
    <row r="491" spans="34:40" ht="14.25" customHeight="1" x14ac:dyDescent="0.3">
      <c r="AH491" s="44"/>
      <c r="AI491" s="49"/>
      <c r="AJ491" s="44"/>
      <c r="AK491" s="44"/>
      <c r="AL491" s="44"/>
      <c r="AM491" s="44"/>
      <c r="AN491" s="44"/>
    </row>
    <row r="492" spans="34:40" ht="14.25" customHeight="1" x14ac:dyDescent="0.3">
      <c r="AH492" s="44"/>
      <c r="AI492" s="49"/>
      <c r="AJ492" s="44"/>
      <c r="AK492" s="44"/>
      <c r="AL492" s="44"/>
      <c r="AM492" s="44"/>
      <c r="AN492" s="44"/>
    </row>
    <row r="493" spans="34:40" ht="14.25" customHeight="1" x14ac:dyDescent="0.3">
      <c r="AH493" s="44"/>
      <c r="AI493" s="49"/>
      <c r="AJ493" s="44"/>
      <c r="AK493" s="44"/>
      <c r="AL493" s="44"/>
      <c r="AM493" s="44"/>
      <c r="AN493" s="44"/>
    </row>
    <row r="494" spans="34:40" ht="14.25" customHeight="1" x14ac:dyDescent="0.3">
      <c r="AH494" s="44"/>
      <c r="AI494" s="49"/>
      <c r="AJ494" s="44"/>
      <c r="AK494" s="44"/>
      <c r="AL494" s="44"/>
      <c r="AM494" s="44"/>
      <c r="AN494" s="44"/>
    </row>
    <row r="495" spans="34:40" ht="14.25" customHeight="1" x14ac:dyDescent="0.3">
      <c r="AH495" s="44"/>
      <c r="AI495" s="49"/>
      <c r="AJ495" s="44"/>
      <c r="AK495" s="44"/>
      <c r="AL495" s="44"/>
      <c r="AM495" s="44"/>
      <c r="AN495" s="44"/>
    </row>
    <row r="496" spans="34:40" ht="14.25" customHeight="1" x14ac:dyDescent="0.3">
      <c r="AH496" s="44"/>
      <c r="AI496" s="49"/>
      <c r="AJ496" s="44"/>
      <c r="AK496" s="44"/>
      <c r="AL496" s="44"/>
      <c r="AM496" s="44"/>
      <c r="AN496" s="44"/>
    </row>
    <row r="497" spans="34:40" ht="14.25" customHeight="1" x14ac:dyDescent="0.3">
      <c r="AH497" s="44"/>
      <c r="AI497" s="49"/>
      <c r="AJ497" s="44"/>
      <c r="AK497" s="44"/>
      <c r="AL497" s="44"/>
      <c r="AM497" s="44"/>
      <c r="AN497" s="44"/>
    </row>
    <row r="498" spans="34:40" ht="14.25" customHeight="1" x14ac:dyDescent="0.3">
      <c r="AH498" s="44"/>
      <c r="AI498" s="49"/>
      <c r="AJ498" s="44"/>
      <c r="AK498" s="44"/>
      <c r="AL498" s="44"/>
      <c r="AM498" s="44"/>
      <c r="AN498" s="44"/>
    </row>
    <row r="499" spans="34:40" ht="14.25" customHeight="1" x14ac:dyDescent="0.3">
      <c r="AH499" s="44"/>
      <c r="AI499" s="49"/>
      <c r="AJ499" s="44"/>
      <c r="AK499" s="44"/>
      <c r="AL499" s="44"/>
      <c r="AM499" s="44"/>
      <c r="AN499" s="44"/>
    </row>
    <row r="500" spans="34:40" ht="14.25" customHeight="1" x14ac:dyDescent="0.3">
      <c r="AH500" s="44"/>
      <c r="AI500" s="49"/>
      <c r="AJ500" s="44"/>
      <c r="AK500" s="44"/>
      <c r="AL500" s="44"/>
      <c r="AM500" s="44"/>
      <c r="AN500" s="44"/>
    </row>
    <row r="501" spans="34:40" ht="14.25" customHeight="1" x14ac:dyDescent="0.3">
      <c r="AH501" s="44"/>
      <c r="AI501" s="49"/>
      <c r="AJ501" s="44"/>
      <c r="AK501" s="44"/>
      <c r="AL501" s="44"/>
      <c r="AM501" s="44"/>
      <c r="AN501" s="44"/>
    </row>
    <row r="502" spans="34:40" ht="14.25" customHeight="1" x14ac:dyDescent="0.3">
      <c r="AH502" s="44"/>
      <c r="AI502" s="49"/>
      <c r="AJ502" s="44"/>
      <c r="AK502" s="44"/>
      <c r="AL502" s="44"/>
      <c r="AM502" s="44"/>
      <c r="AN502" s="44"/>
    </row>
    <row r="503" spans="34:40" ht="14.25" customHeight="1" x14ac:dyDescent="0.3">
      <c r="AH503" s="44"/>
      <c r="AI503" s="49"/>
      <c r="AJ503" s="44"/>
      <c r="AK503" s="44"/>
      <c r="AL503" s="44"/>
      <c r="AM503" s="44"/>
      <c r="AN503" s="44"/>
    </row>
    <row r="504" spans="34:40" ht="14.25" customHeight="1" x14ac:dyDescent="0.3">
      <c r="AH504" s="44"/>
      <c r="AI504" s="49"/>
      <c r="AJ504" s="44"/>
      <c r="AK504" s="44"/>
      <c r="AL504" s="44"/>
      <c r="AM504" s="44"/>
      <c r="AN504" s="44"/>
    </row>
    <row r="505" spans="34:40" ht="14.25" customHeight="1" x14ac:dyDescent="0.3">
      <c r="AH505" s="44"/>
      <c r="AI505" s="49"/>
      <c r="AJ505" s="44"/>
      <c r="AK505" s="44"/>
      <c r="AL505" s="44"/>
      <c r="AM505" s="44"/>
      <c r="AN505" s="44"/>
    </row>
    <row r="506" spans="34:40" ht="14.25" customHeight="1" x14ac:dyDescent="0.3">
      <c r="AH506" s="44"/>
      <c r="AI506" s="49"/>
      <c r="AJ506" s="44"/>
      <c r="AK506" s="44"/>
      <c r="AL506" s="44"/>
      <c r="AM506" s="44"/>
      <c r="AN506" s="44"/>
    </row>
    <row r="507" spans="34:40" ht="14.25" customHeight="1" x14ac:dyDescent="0.3">
      <c r="AH507" s="44"/>
      <c r="AI507" s="49"/>
      <c r="AJ507" s="44"/>
      <c r="AK507" s="44"/>
      <c r="AL507" s="44"/>
      <c r="AM507" s="44"/>
      <c r="AN507" s="44"/>
    </row>
    <row r="508" spans="34:40" ht="14.25" customHeight="1" x14ac:dyDescent="0.3">
      <c r="AH508" s="44"/>
      <c r="AI508" s="49"/>
      <c r="AJ508" s="44"/>
      <c r="AK508" s="44"/>
      <c r="AL508" s="44"/>
      <c r="AM508" s="44"/>
      <c r="AN508" s="44"/>
    </row>
    <row r="509" spans="34:40" ht="14.25" customHeight="1" x14ac:dyDescent="0.3">
      <c r="AH509" s="44"/>
      <c r="AI509" s="49"/>
      <c r="AJ509" s="44"/>
      <c r="AK509" s="44"/>
      <c r="AL509" s="44"/>
      <c r="AM509" s="44"/>
      <c r="AN509" s="44"/>
    </row>
    <row r="510" spans="34:40" ht="14.25" customHeight="1" x14ac:dyDescent="0.3">
      <c r="AH510" s="44"/>
      <c r="AI510" s="49"/>
      <c r="AJ510" s="44"/>
      <c r="AK510" s="44"/>
      <c r="AL510" s="44"/>
      <c r="AM510" s="44"/>
      <c r="AN510" s="44"/>
    </row>
    <row r="511" spans="34:40" ht="14.25" customHeight="1" x14ac:dyDescent="0.3">
      <c r="AH511" s="44"/>
      <c r="AI511" s="49"/>
      <c r="AJ511" s="44"/>
      <c r="AK511" s="44"/>
      <c r="AL511" s="44"/>
      <c r="AM511" s="44"/>
      <c r="AN511" s="44"/>
    </row>
    <row r="512" spans="34:40" ht="14.25" customHeight="1" x14ac:dyDescent="0.3">
      <c r="AH512" s="44"/>
      <c r="AI512" s="49"/>
      <c r="AJ512" s="44"/>
      <c r="AK512" s="44"/>
      <c r="AL512" s="44"/>
      <c r="AM512" s="44"/>
      <c r="AN512" s="44"/>
    </row>
    <row r="513" spans="34:40" ht="14.25" customHeight="1" x14ac:dyDescent="0.3">
      <c r="AH513" s="44"/>
      <c r="AI513" s="49"/>
      <c r="AJ513" s="44"/>
      <c r="AK513" s="44"/>
      <c r="AL513" s="44"/>
      <c r="AM513" s="44"/>
      <c r="AN513" s="44"/>
    </row>
    <row r="514" spans="34:40" ht="14.25" customHeight="1" x14ac:dyDescent="0.3">
      <c r="AH514" s="44"/>
      <c r="AI514" s="49"/>
      <c r="AJ514" s="44"/>
      <c r="AK514" s="44"/>
      <c r="AL514" s="44"/>
      <c r="AM514" s="44"/>
      <c r="AN514" s="44"/>
    </row>
    <row r="515" spans="34:40" ht="14.25" customHeight="1" x14ac:dyDescent="0.3">
      <c r="AH515" s="44"/>
      <c r="AI515" s="49"/>
      <c r="AJ515" s="44"/>
      <c r="AK515" s="44"/>
      <c r="AL515" s="44"/>
      <c r="AM515" s="44"/>
      <c r="AN515" s="44"/>
    </row>
    <row r="516" spans="34:40" ht="14.25" customHeight="1" x14ac:dyDescent="0.3">
      <c r="AH516" s="44"/>
      <c r="AI516" s="49"/>
      <c r="AJ516" s="44"/>
      <c r="AK516" s="44"/>
      <c r="AL516" s="44"/>
      <c r="AM516" s="44"/>
      <c r="AN516" s="44"/>
    </row>
    <row r="517" spans="34:40" ht="14.25" customHeight="1" x14ac:dyDescent="0.3">
      <c r="AH517" s="44"/>
      <c r="AI517" s="49"/>
      <c r="AJ517" s="44"/>
      <c r="AK517" s="44"/>
      <c r="AL517" s="44"/>
      <c r="AM517" s="44"/>
      <c r="AN517" s="44"/>
    </row>
    <row r="518" spans="34:40" ht="14.25" customHeight="1" x14ac:dyDescent="0.3">
      <c r="AH518" s="44"/>
      <c r="AI518" s="49"/>
      <c r="AJ518" s="44"/>
      <c r="AK518" s="44"/>
      <c r="AL518" s="44"/>
      <c r="AM518" s="44"/>
      <c r="AN518" s="44"/>
    </row>
    <row r="519" spans="34:40" ht="14.25" customHeight="1" x14ac:dyDescent="0.3">
      <c r="AH519" s="44"/>
      <c r="AI519" s="49"/>
      <c r="AJ519" s="44"/>
      <c r="AK519" s="44"/>
      <c r="AL519" s="44"/>
      <c r="AM519" s="44"/>
      <c r="AN519" s="44"/>
    </row>
    <row r="520" spans="34:40" ht="14.25" customHeight="1" x14ac:dyDescent="0.3">
      <c r="AH520" s="44"/>
      <c r="AI520" s="49"/>
      <c r="AJ520" s="44"/>
      <c r="AK520" s="44"/>
      <c r="AL520" s="44"/>
      <c r="AM520" s="44"/>
      <c r="AN520" s="44"/>
    </row>
    <row r="521" spans="34:40" ht="14.25" customHeight="1" x14ac:dyDescent="0.3">
      <c r="AH521" s="44"/>
      <c r="AI521" s="49"/>
      <c r="AJ521" s="44"/>
      <c r="AK521" s="44"/>
      <c r="AL521" s="44"/>
      <c r="AM521" s="44"/>
      <c r="AN521" s="44"/>
    </row>
    <row r="522" spans="34:40" ht="14.25" customHeight="1" x14ac:dyDescent="0.3">
      <c r="AH522" s="44"/>
      <c r="AI522" s="49"/>
      <c r="AJ522" s="44"/>
      <c r="AK522" s="44"/>
      <c r="AL522" s="44"/>
      <c r="AM522" s="44"/>
      <c r="AN522" s="44"/>
    </row>
    <row r="523" spans="34:40" ht="14.25" customHeight="1" x14ac:dyDescent="0.3">
      <c r="AH523" s="44"/>
      <c r="AI523" s="49"/>
      <c r="AJ523" s="44"/>
      <c r="AK523" s="44"/>
      <c r="AL523" s="44"/>
      <c r="AM523" s="44"/>
      <c r="AN523" s="44"/>
    </row>
    <row r="524" spans="34:40" ht="14.25" customHeight="1" x14ac:dyDescent="0.3">
      <c r="AH524" s="44"/>
      <c r="AI524" s="49"/>
      <c r="AJ524" s="44"/>
      <c r="AK524" s="44"/>
      <c r="AL524" s="44"/>
      <c r="AM524" s="44"/>
      <c r="AN524" s="44"/>
    </row>
    <row r="525" spans="34:40" ht="14.25" customHeight="1" x14ac:dyDescent="0.3">
      <c r="AH525" s="44"/>
      <c r="AI525" s="49"/>
      <c r="AJ525" s="44"/>
      <c r="AK525" s="44"/>
      <c r="AL525" s="44"/>
      <c r="AM525" s="44"/>
      <c r="AN525" s="44"/>
    </row>
    <row r="526" spans="34:40" ht="14.25" customHeight="1" x14ac:dyDescent="0.3">
      <c r="AH526" s="44"/>
      <c r="AI526" s="49"/>
      <c r="AJ526" s="44"/>
      <c r="AK526" s="44"/>
      <c r="AL526" s="44"/>
      <c r="AM526" s="44"/>
      <c r="AN526" s="44"/>
    </row>
    <row r="527" spans="34:40" ht="14.25" customHeight="1" x14ac:dyDescent="0.3">
      <c r="AH527" s="44"/>
      <c r="AI527" s="49"/>
      <c r="AJ527" s="44"/>
      <c r="AK527" s="44"/>
      <c r="AL527" s="44"/>
      <c r="AM527" s="44"/>
      <c r="AN527" s="44"/>
    </row>
    <row r="528" spans="34:40" ht="14.25" customHeight="1" x14ac:dyDescent="0.3">
      <c r="AH528" s="44"/>
      <c r="AI528" s="49"/>
      <c r="AJ528" s="44"/>
      <c r="AK528" s="44"/>
      <c r="AL528" s="44"/>
      <c r="AM528" s="44"/>
      <c r="AN528" s="44"/>
    </row>
    <row r="529" spans="34:40" ht="14.25" customHeight="1" x14ac:dyDescent="0.3">
      <c r="AH529" s="44"/>
      <c r="AI529" s="49"/>
      <c r="AJ529" s="44"/>
      <c r="AK529" s="44"/>
      <c r="AL529" s="44"/>
      <c r="AM529" s="44"/>
      <c r="AN529" s="44"/>
    </row>
    <row r="530" spans="34:40" ht="14.25" customHeight="1" x14ac:dyDescent="0.3">
      <c r="AH530" s="44"/>
      <c r="AI530" s="49"/>
      <c r="AJ530" s="44"/>
      <c r="AK530" s="44"/>
      <c r="AL530" s="44"/>
      <c r="AM530" s="44"/>
      <c r="AN530" s="44"/>
    </row>
    <row r="531" spans="34:40" ht="14.25" customHeight="1" x14ac:dyDescent="0.3">
      <c r="AH531" s="44"/>
      <c r="AI531" s="49"/>
      <c r="AJ531" s="44"/>
      <c r="AK531" s="44"/>
      <c r="AL531" s="44"/>
      <c r="AM531" s="44"/>
      <c r="AN531" s="44"/>
    </row>
    <row r="532" spans="34:40" ht="14.25" customHeight="1" x14ac:dyDescent="0.3">
      <c r="AH532" s="44"/>
      <c r="AI532" s="49"/>
      <c r="AJ532" s="44"/>
      <c r="AK532" s="44"/>
      <c r="AL532" s="44"/>
      <c r="AM532" s="44"/>
      <c r="AN532" s="44"/>
    </row>
    <row r="533" spans="34:40" ht="14.25" customHeight="1" x14ac:dyDescent="0.3">
      <c r="AH533" s="44"/>
      <c r="AI533" s="49"/>
      <c r="AJ533" s="44"/>
      <c r="AK533" s="44"/>
      <c r="AL533" s="44"/>
      <c r="AM533" s="44"/>
      <c r="AN533" s="44"/>
    </row>
    <row r="534" spans="34:40" ht="14.25" customHeight="1" x14ac:dyDescent="0.3">
      <c r="AH534" s="44"/>
      <c r="AI534" s="49"/>
      <c r="AJ534" s="44"/>
      <c r="AK534" s="44"/>
      <c r="AL534" s="44"/>
      <c r="AM534" s="44"/>
      <c r="AN534" s="44"/>
    </row>
    <row r="535" spans="34:40" ht="14.25" customHeight="1" x14ac:dyDescent="0.3">
      <c r="AH535" s="44"/>
      <c r="AI535" s="49"/>
      <c r="AJ535" s="44"/>
      <c r="AK535" s="44"/>
      <c r="AL535" s="44"/>
      <c r="AM535" s="44"/>
      <c r="AN535" s="44"/>
    </row>
    <row r="536" spans="34:40" ht="14.25" customHeight="1" x14ac:dyDescent="0.3">
      <c r="AH536" s="44"/>
      <c r="AI536" s="49"/>
      <c r="AJ536" s="44"/>
      <c r="AK536" s="44"/>
      <c r="AL536" s="44"/>
      <c r="AM536" s="44"/>
      <c r="AN536" s="44"/>
    </row>
    <row r="537" spans="34:40" ht="14.25" customHeight="1" x14ac:dyDescent="0.3">
      <c r="AH537" s="44"/>
      <c r="AI537" s="49"/>
      <c r="AJ537" s="44"/>
      <c r="AK537" s="44"/>
      <c r="AL537" s="44"/>
      <c r="AM537" s="44"/>
      <c r="AN537" s="44"/>
    </row>
    <row r="538" spans="34:40" ht="14.25" customHeight="1" x14ac:dyDescent="0.3">
      <c r="AH538" s="44"/>
      <c r="AI538" s="49"/>
      <c r="AJ538" s="44"/>
      <c r="AK538" s="44"/>
      <c r="AL538" s="44"/>
      <c r="AM538" s="44"/>
      <c r="AN538" s="44"/>
    </row>
    <row r="539" spans="34:40" ht="14.25" customHeight="1" x14ac:dyDescent="0.3">
      <c r="AH539" s="44"/>
      <c r="AI539" s="49"/>
      <c r="AJ539" s="44"/>
      <c r="AK539" s="44"/>
      <c r="AL539" s="44"/>
      <c r="AM539" s="44"/>
      <c r="AN539" s="44"/>
    </row>
    <row r="540" spans="34:40" ht="14.25" customHeight="1" x14ac:dyDescent="0.3">
      <c r="AH540" s="44"/>
      <c r="AI540" s="49"/>
      <c r="AJ540" s="44"/>
      <c r="AK540" s="44"/>
      <c r="AL540" s="44"/>
      <c r="AM540" s="44"/>
      <c r="AN540" s="44"/>
    </row>
    <row r="541" spans="34:40" ht="14.25" customHeight="1" x14ac:dyDescent="0.3">
      <c r="AH541" s="44"/>
      <c r="AI541" s="49"/>
      <c r="AJ541" s="44"/>
      <c r="AK541" s="44"/>
      <c r="AL541" s="44"/>
      <c r="AM541" s="44"/>
      <c r="AN541" s="44"/>
    </row>
    <row r="542" spans="34:40" ht="14.25" customHeight="1" x14ac:dyDescent="0.3">
      <c r="AH542" s="44"/>
      <c r="AI542" s="49"/>
      <c r="AJ542" s="44"/>
      <c r="AK542" s="44"/>
      <c r="AL542" s="44"/>
      <c r="AM542" s="44"/>
      <c r="AN542" s="44"/>
    </row>
    <row r="543" spans="34:40" ht="14.25" customHeight="1" x14ac:dyDescent="0.3">
      <c r="AH543" s="44"/>
      <c r="AI543" s="49"/>
      <c r="AJ543" s="44"/>
      <c r="AK543" s="44"/>
      <c r="AL543" s="44"/>
      <c r="AM543" s="44"/>
      <c r="AN543" s="44"/>
    </row>
    <row r="544" spans="34:40" ht="14.25" customHeight="1" x14ac:dyDescent="0.3">
      <c r="AH544" s="44"/>
      <c r="AI544" s="49"/>
      <c r="AJ544" s="44"/>
      <c r="AK544" s="44"/>
      <c r="AL544" s="44"/>
      <c r="AM544" s="44"/>
      <c r="AN544" s="44"/>
    </row>
    <row r="545" spans="34:40" ht="14.25" customHeight="1" x14ac:dyDescent="0.3">
      <c r="AH545" s="44"/>
      <c r="AI545" s="49"/>
      <c r="AJ545" s="44"/>
      <c r="AK545" s="44"/>
      <c r="AL545" s="44"/>
      <c r="AM545" s="44"/>
      <c r="AN545" s="44"/>
    </row>
    <row r="546" spans="34:40" ht="14.25" customHeight="1" x14ac:dyDescent="0.3">
      <c r="AH546" s="44"/>
      <c r="AI546" s="49"/>
      <c r="AJ546" s="44"/>
      <c r="AK546" s="44"/>
      <c r="AL546" s="44"/>
      <c r="AM546" s="44"/>
      <c r="AN546" s="44"/>
    </row>
    <row r="547" spans="34:40" ht="14.25" customHeight="1" x14ac:dyDescent="0.3">
      <c r="AH547" s="44"/>
      <c r="AI547" s="49"/>
      <c r="AJ547" s="44"/>
      <c r="AK547" s="44"/>
      <c r="AL547" s="44"/>
      <c r="AM547" s="44"/>
      <c r="AN547" s="44"/>
    </row>
    <row r="548" spans="34:40" ht="14.25" customHeight="1" x14ac:dyDescent="0.3">
      <c r="AH548" s="44"/>
      <c r="AI548" s="49"/>
      <c r="AJ548" s="44"/>
      <c r="AK548" s="44"/>
      <c r="AL548" s="44"/>
      <c r="AM548" s="44"/>
      <c r="AN548" s="44"/>
    </row>
    <row r="549" spans="34:40" ht="14.25" customHeight="1" x14ac:dyDescent="0.3">
      <c r="AH549" s="44"/>
      <c r="AI549" s="49"/>
      <c r="AJ549" s="44"/>
      <c r="AK549" s="44"/>
      <c r="AL549" s="44"/>
      <c r="AM549" s="44"/>
      <c r="AN549" s="44"/>
    </row>
    <row r="550" spans="34:40" ht="14.25" customHeight="1" x14ac:dyDescent="0.3">
      <c r="AH550" s="44"/>
      <c r="AI550" s="49"/>
      <c r="AJ550" s="44"/>
      <c r="AK550" s="44"/>
      <c r="AL550" s="44"/>
      <c r="AM550" s="44"/>
      <c r="AN550" s="44"/>
    </row>
    <row r="551" spans="34:40" ht="14.25" customHeight="1" x14ac:dyDescent="0.3">
      <c r="AH551" s="44"/>
      <c r="AI551" s="49"/>
      <c r="AJ551" s="44"/>
      <c r="AK551" s="44"/>
      <c r="AL551" s="44"/>
      <c r="AM551" s="44"/>
      <c r="AN551" s="44"/>
    </row>
    <row r="552" spans="34:40" ht="14.25" customHeight="1" x14ac:dyDescent="0.3">
      <c r="AH552" s="44"/>
      <c r="AI552" s="49"/>
      <c r="AJ552" s="44"/>
      <c r="AK552" s="44"/>
      <c r="AL552" s="44"/>
      <c r="AM552" s="44"/>
      <c r="AN552" s="44"/>
    </row>
    <row r="553" spans="34:40" ht="14.25" customHeight="1" x14ac:dyDescent="0.3">
      <c r="AH553" s="44"/>
      <c r="AI553" s="49"/>
      <c r="AJ553" s="44"/>
      <c r="AK553" s="44"/>
      <c r="AL553" s="44"/>
      <c r="AM553" s="44"/>
      <c r="AN553" s="44"/>
    </row>
    <row r="554" spans="34:40" ht="14.25" customHeight="1" x14ac:dyDescent="0.3">
      <c r="AH554" s="44"/>
      <c r="AI554" s="49"/>
      <c r="AJ554" s="44"/>
      <c r="AK554" s="44"/>
      <c r="AL554" s="44"/>
      <c r="AM554" s="44"/>
      <c r="AN554" s="44"/>
    </row>
    <row r="555" spans="34:40" ht="14.25" customHeight="1" x14ac:dyDescent="0.3">
      <c r="AH555" s="44"/>
      <c r="AI555" s="49"/>
      <c r="AJ555" s="44"/>
      <c r="AK555" s="44"/>
      <c r="AL555" s="44"/>
      <c r="AM555" s="44"/>
      <c r="AN555" s="44"/>
    </row>
    <row r="556" spans="34:40" ht="14.25" customHeight="1" x14ac:dyDescent="0.3">
      <c r="AH556" s="44"/>
      <c r="AI556" s="49"/>
      <c r="AJ556" s="44"/>
      <c r="AK556" s="44"/>
      <c r="AL556" s="44"/>
      <c r="AM556" s="44"/>
      <c r="AN556" s="44"/>
    </row>
    <row r="557" spans="34:40" ht="14.25" customHeight="1" x14ac:dyDescent="0.3">
      <c r="AH557" s="44"/>
      <c r="AI557" s="49"/>
      <c r="AJ557" s="44"/>
      <c r="AK557" s="44"/>
      <c r="AL557" s="44"/>
      <c r="AM557" s="44"/>
      <c r="AN557" s="44"/>
    </row>
    <row r="558" spans="34:40" ht="14.25" customHeight="1" x14ac:dyDescent="0.3">
      <c r="AH558" s="44"/>
      <c r="AI558" s="49"/>
      <c r="AJ558" s="44"/>
      <c r="AK558" s="44"/>
      <c r="AL558" s="44"/>
      <c r="AM558" s="44"/>
      <c r="AN558" s="44"/>
    </row>
    <row r="559" spans="34:40" ht="14.25" customHeight="1" x14ac:dyDescent="0.3">
      <c r="AH559" s="44"/>
      <c r="AI559" s="49"/>
      <c r="AJ559" s="44"/>
      <c r="AK559" s="44"/>
      <c r="AL559" s="44"/>
      <c r="AM559" s="44"/>
      <c r="AN559" s="44"/>
    </row>
    <row r="560" spans="34:40" ht="14.25" customHeight="1" x14ac:dyDescent="0.3">
      <c r="AH560" s="44"/>
      <c r="AI560" s="49"/>
      <c r="AJ560" s="44"/>
      <c r="AK560" s="44"/>
      <c r="AL560" s="44"/>
      <c r="AM560" s="44"/>
      <c r="AN560" s="44"/>
    </row>
    <row r="561" spans="34:40" ht="14.25" customHeight="1" x14ac:dyDescent="0.3">
      <c r="AH561" s="44"/>
      <c r="AI561" s="49"/>
      <c r="AJ561" s="44"/>
      <c r="AK561" s="44"/>
      <c r="AL561" s="44"/>
      <c r="AM561" s="44"/>
      <c r="AN561" s="44"/>
    </row>
    <row r="562" spans="34:40" ht="14.25" customHeight="1" x14ac:dyDescent="0.3">
      <c r="AH562" s="44"/>
      <c r="AI562" s="49"/>
      <c r="AJ562" s="44"/>
      <c r="AK562" s="44"/>
      <c r="AL562" s="44"/>
      <c r="AM562" s="44"/>
      <c r="AN562" s="44"/>
    </row>
    <row r="563" spans="34:40" ht="14.25" customHeight="1" x14ac:dyDescent="0.3">
      <c r="AH563" s="44"/>
      <c r="AI563" s="49"/>
      <c r="AJ563" s="44"/>
      <c r="AK563" s="44"/>
      <c r="AL563" s="44"/>
      <c r="AM563" s="44"/>
      <c r="AN563" s="44"/>
    </row>
    <row r="564" spans="34:40" ht="14.25" customHeight="1" x14ac:dyDescent="0.3">
      <c r="AH564" s="44"/>
      <c r="AI564" s="49"/>
      <c r="AJ564" s="44"/>
      <c r="AK564" s="44"/>
      <c r="AL564" s="44"/>
      <c r="AM564" s="44"/>
      <c r="AN564" s="44"/>
    </row>
    <row r="565" spans="34:40" ht="14.25" customHeight="1" x14ac:dyDescent="0.3">
      <c r="AH565" s="44"/>
      <c r="AI565" s="49"/>
      <c r="AJ565" s="44"/>
      <c r="AK565" s="44"/>
      <c r="AL565" s="44"/>
      <c r="AM565" s="44"/>
      <c r="AN565" s="44"/>
    </row>
    <row r="566" spans="34:40" ht="14.25" customHeight="1" x14ac:dyDescent="0.3">
      <c r="AH566" s="44"/>
      <c r="AI566" s="49"/>
      <c r="AJ566" s="44"/>
      <c r="AK566" s="44"/>
      <c r="AL566" s="44"/>
      <c r="AM566" s="44"/>
      <c r="AN566" s="44"/>
    </row>
    <row r="567" spans="34:40" ht="14.25" customHeight="1" x14ac:dyDescent="0.3">
      <c r="AH567" s="44"/>
      <c r="AI567" s="49"/>
      <c r="AJ567" s="44"/>
      <c r="AK567" s="44"/>
      <c r="AL567" s="44"/>
      <c r="AM567" s="44"/>
      <c r="AN567" s="44"/>
    </row>
    <row r="568" spans="34:40" ht="14.25" customHeight="1" x14ac:dyDescent="0.3">
      <c r="AH568" s="44"/>
      <c r="AI568" s="49"/>
      <c r="AJ568" s="44"/>
      <c r="AK568" s="44"/>
      <c r="AL568" s="44"/>
      <c r="AM568" s="44"/>
      <c r="AN568" s="44"/>
    </row>
    <row r="569" spans="34:40" ht="14.25" customHeight="1" x14ac:dyDescent="0.3">
      <c r="AH569" s="44"/>
      <c r="AI569" s="49"/>
      <c r="AJ569" s="44"/>
      <c r="AK569" s="44"/>
      <c r="AL569" s="44"/>
      <c r="AM569" s="44"/>
      <c r="AN569" s="44"/>
    </row>
    <row r="570" spans="34:40" ht="14.25" customHeight="1" x14ac:dyDescent="0.3">
      <c r="AH570" s="44"/>
      <c r="AI570" s="49"/>
      <c r="AJ570" s="44"/>
      <c r="AK570" s="44"/>
      <c r="AL570" s="44"/>
      <c r="AM570" s="44"/>
      <c r="AN570" s="44"/>
    </row>
    <row r="571" spans="34:40" ht="14.25" customHeight="1" x14ac:dyDescent="0.3">
      <c r="AH571" s="44"/>
      <c r="AI571" s="49"/>
      <c r="AJ571" s="44"/>
      <c r="AK571" s="44"/>
      <c r="AL571" s="44"/>
      <c r="AM571" s="44"/>
      <c r="AN571" s="44"/>
    </row>
    <row r="572" spans="34:40" ht="14.25" customHeight="1" x14ac:dyDescent="0.3">
      <c r="AH572" s="44"/>
      <c r="AI572" s="49"/>
      <c r="AJ572" s="44"/>
      <c r="AK572" s="44"/>
      <c r="AL572" s="44"/>
      <c r="AM572" s="44"/>
      <c r="AN572" s="44"/>
    </row>
    <row r="573" spans="34:40" ht="14.25" customHeight="1" x14ac:dyDescent="0.3">
      <c r="AH573" s="44"/>
      <c r="AI573" s="49"/>
      <c r="AJ573" s="44"/>
      <c r="AK573" s="44"/>
      <c r="AL573" s="44"/>
      <c r="AM573" s="44"/>
      <c r="AN573" s="44"/>
    </row>
    <row r="574" spans="34:40" ht="14.25" customHeight="1" x14ac:dyDescent="0.3">
      <c r="AH574" s="44"/>
      <c r="AI574" s="49"/>
      <c r="AJ574" s="44"/>
      <c r="AK574" s="44"/>
      <c r="AL574" s="44"/>
      <c r="AM574" s="44"/>
      <c r="AN574" s="44"/>
    </row>
    <row r="575" spans="34:40" ht="14.25" customHeight="1" x14ac:dyDescent="0.3">
      <c r="AH575" s="44"/>
      <c r="AI575" s="49"/>
      <c r="AJ575" s="44"/>
      <c r="AK575" s="44"/>
      <c r="AL575" s="44"/>
      <c r="AM575" s="44"/>
      <c r="AN575" s="44"/>
    </row>
    <row r="576" spans="34:40" ht="14.25" customHeight="1" x14ac:dyDescent="0.3">
      <c r="AH576" s="44"/>
      <c r="AI576" s="49"/>
      <c r="AJ576" s="44"/>
      <c r="AK576" s="44"/>
      <c r="AL576" s="44"/>
      <c r="AM576" s="44"/>
      <c r="AN576" s="44"/>
    </row>
    <row r="577" spans="34:40" ht="14.25" customHeight="1" x14ac:dyDescent="0.3">
      <c r="AH577" s="44"/>
      <c r="AI577" s="49"/>
      <c r="AJ577" s="44"/>
      <c r="AK577" s="44"/>
      <c r="AL577" s="44"/>
      <c r="AM577" s="44"/>
      <c r="AN577" s="44"/>
    </row>
    <row r="578" spans="34:40" ht="14.25" customHeight="1" x14ac:dyDescent="0.3">
      <c r="AH578" s="44"/>
      <c r="AI578" s="49"/>
      <c r="AJ578" s="44"/>
      <c r="AK578" s="44"/>
      <c r="AL578" s="44"/>
      <c r="AM578" s="44"/>
      <c r="AN578" s="44"/>
    </row>
    <row r="579" spans="34:40" ht="14.25" customHeight="1" x14ac:dyDescent="0.3">
      <c r="AH579" s="44"/>
      <c r="AI579" s="49"/>
      <c r="AJ579" s="44"/>
      <c r="AK579" s="44"/>
      <c r="AL579" s="44"/>
      <c r="AM579" s="44"/>
      <c r="AN579" s="44"/>
    </row>
    <row r="580" spans="34:40" ht="14.25" customHeight="1" x14ac:dyDescent="0.3">
      <c r="AH580" s="44"/>
      <c r="AI580" s="49"/>
      <c r="AJ580" s="44"/>
      <c r="AK580" s="44"/>
      <c r="AL580" s="44"/>
      <c r="AM580" s="44"/>
      <c r="AN580" s="44"/>
    </row>
    <row r="581" spans="34:40" ht="14.25" customHeight="1" x14ac:dyDescent="0.3">
      <c r="AH581" s="44"/>
      <c r="AI581" s="49"/>
      <c r="AJ581" s="44"/>
      <c r="AK581" s="44"/>
      <c r="AL581" s="44"/>
      <c r="AM581" s="44"/>
      <c r="AN581" s="44"/>
    </row>
    <row r="582" spans="34:40" ht="14.25" customHeight="1" x14ac:dyDescent="0.3">
      <c r="AH582" s="44"/>
      <c r="AI582" s="49"/>
      <c r="AJ582" s="44"/>
      <c r="AK582" s="44"/>
      <c r="AL582" s="44"/>
      <c r="AM582" s="44"/>
      <c r="AN582" s="44"/>
    </row>
    <row r="583" spans="34:40" ht="14.25" customHeight="1" x14ac:dyDescent="0.3">
      <c r="AH583" s="44"/>
      <c r="AI583" s="49"/>
      <c r="AJ583" s="44"/>
      <c r="AK583" s="44"/>
      <c r="AL583" s="44"/>
      <c r="AM583" s="44"/>
      <c r="AN583" s="44"/>
    </row>
    <row r="584" spans="34:40" ht="14.25" customHeight="1" x14ac:dyDescent="0.3">
      <c r="AH584" s="44"/>
      <c r="AI584" s="49"/>
      <c r="AJ584" s="44"/>
      <c r="AK584" s="44"/>
      <c r="AL584" s="44"/>
      <c r="AM584" s="44"/>
      <c r="AN584" s="44"/>
    </row>
    <row r="585" spans="34:40" ht="14.25" customHeight="1" x14ac:dyDescent="0.3">
      <c r="AH585" s="44"/>
      <c r="AI585" s="49"/>
      <c r="AJ585" s="44"/>
      <c r="AK585" s="44"/>
      <c r="AL585" s="44"/>
      <c r="AM585" s="44"/>
      <c r="AN585" s="44"/>
    </row>
    <row r="586" spans="34:40" ht="14.25" customHeight="1" x14ac:dyDescent="0.3">
      <c r="AH586" s="44"/>
      <c r="AI586" s="49"/>
      <c r="AJ586" s="44"/>
      <c r="AK586" s="44"/>
      <c r="AL586" s="44"/>
      <c r="AM586" s="44"/>
      <c r="AN586" s="44"/>
    </row>
    <row r="587" spans="34:40" ht="14.25" customHeight="1" x14ac:dyDescent="0.3">
      <c r="AH587" s="44"/>
      <c r="AI587" s="49"/>
      <c r="AJ587" s="44"/>
      <c r="AK587" s="44"/>
      <c r="AL587" s="44"/>
      <c r="AM587" s="44"/>
      <c r="AN587" s="44"/>
    </row>
    <row r="588" spans="34:40" ht="14.25" customHeight="1" x14ac:dyDescent="0.3">
      <c r="AH588" s="44"/>
      <c r="AI588" s="49"/>
      <c r="AJ588" s="44"/>
      <c r="AK588" s="44"/>
      <c r="AL588" s="44"/>
      <c r="AM588" s="44"/>
      <c r="AN588" s="44"/>
    </row>
    <row r="589" spans="34:40" ht="14.25" customHeight="1" x14ac:dyDescent="0.3">
      <c r="AH589" s="44"/>
      <c r="AI589" s="49"/>
      <c r="AJ589" s="44"/>
      <c r="AK589" s="44"/>
      <c r="AL589" s="44"/>
      <c r="AM589" s="44"/>
      <c r="AN589" s="44"/>
    </row>
    <row r="590" spans="34:40" ht="14.25" customHeight="1" x14ac:dyDescent="0.3">
      <c r="AH590" s="44"/>
      <c r="AI590" s="49"/>
      <c r="AJ590" s="44"/>
      <c r="AK590" s="44"/>
      <c r="AL590" s="44"/>
      <c r="AM590" s="44"/>
      <c r="AN590" s="44"/>
    </row>
    <row r="591" spans="34:40" ht="14.25" customHeight="1" x14ac:dyDescent="0.3">
      <c r="AH591" s="44"/>
      <c r="AI591" s="49"/>
      <c r="AJ591" s="44"/>
      <c r="AK591" s="44"/>
      <c r="AL591" s="44"/>
      <c r="AM591" s="44"/>
      <c r="AN591" s="44"/>
    </row>
    <row r="592" spans="34:40" ht="14.25" customHeight="1" x14ac:dyDescent="0.3">
      <c r="AH592" s="44"/>
      <c r="AI592" s="49"/>
      <c r="AJ592" s="44"/>
      <c r="AK592" s="44"/>
      <c r="AL592" s="44"/>
      <c r="AM592" s="44"/>
      <c r="AN592" s="44"/>
    </row>
    <row r="593" spans="34:40" ht="14.25" customHeight="1" x14ac:dyDescent="0.3">
      <c r="AH593" s="44"/>
      <c r="AI593" s="49"/>
      <c r="AJ593" s="44"/>
      <c r="AK593" s="44"/>
      <c r="AL593" s="44"/>
      <c r="AM593" s="44"/>
      <c r="AN593" s="44"/>
    </row>
    <row r="594" spans="34:40" ht="14.25" customHeight="1" x14ac:dyDescent="0.3">
      <c r="AH594" s="44"/>
      <c r="AI594" s="49"/>
      <c r="AJ594" s="44"/>
      <c r="AK594" s="44"/>
      <c r="AL594" s="44"/>
      <c r="AM594" s="44"/>
      <c r="AN594" s="44"/>
    </row>
    <row r="595" spans="34:40" ht="14.25" customHeight="1" x14ac:dyDescent="0.3">
      <c r="AH595" s="44"/>
      <c r="AI595" s="49"/>
      <c r="AJ595" s="44"/>
      <c r="AK595" s="44"/>
      <c r="AL595" s="44"/>
      <c r="AM595" s="44"/>
      <c r="AN595" s="44"/>
    </row>
    <row r="596" spans="34:40" ht="14.25" customHeight="1" x14ac:dyDescent="0.3">
      <c r="AH596" s="44"/>
      <c r="AI596" s="49"/>
      <c r="AJ596" s="44"/>
      <c r="AK596" s="44"/>
      <c r="AL596" s="44"/>
      <c r="AM596" s="44"/>
      <c r="AN596" s="44"/>
    </row>
    <row r="597" spans="34:40" ht="14.25" customHeight="1" x14ac:dyDescent="0.3">
      <c r="AH597" s="44"/>
      <c r="AI597" s="49"/>
      <c r="AJ597" s="44"/>
      <c r="AK597" s="44"/>
      <c r="AL597" s="44"/>
      <c r="AM597" s="44"/>
      <c r="AN597" s="44"/>
    </row>
    <row r="598" spans="34:40" ht="14.25" customHeight="1" x14ac:dyDescent="0.3">
      <c r="AH598" s="44"/>
      <c r="AI598" s="49"/>
      <c r="AJ598" s="44"/>
      <c r="AK598" s="44"/>
      <c r="AL598" s="44"/>
      <c r="AM598" s="44"/>
      <c r="AN598" s="44"/>
    </row>
    <row r="599" spans="34:40" ht="14.25" customHeight="1" x14ac:dyDescent="0.3">
      <c r="AH599" s="44"/>
      <c r="AI599" s="49"/>
      <c r="AJ599" s="44"/>
      <c r="AK599" s="44"/>
      <c r="AL599" s="44"/>
      <c r="AM599" s="44"/>
      <c r="AN599" s="44"/>
    </row>
    <row r="600" spans="34:40" ht="14.25" customHeight="1" x14ac:dyDescent="0.3">
      <c r="AH600" s="44"/>
      <c r="AI600" s="49"/>
      <c r="AJ600" s="44"/>
      <c r="AK600" s="44"/>
      <c r="AL600" s="44"/>
      <c r="AM600" s="44"/>
      <c r="AN600" s="44"/>
    </row>
    <row r="601" spans="34:40" ht="14.25" customHeight="1" x14ac:dyDescent="0.3">
      <c r="AH601" s="44"/>
      <c r="AI601" s="49"/>
      <c r="AJ601" s="44"/>
      <c r="AK601" s="44"/>
      <c r="AL601" s="44"/>
      <c r="AM601" s="44"/>
      <c r="AN601" s="44"/>
    </row>
    <row r="602" spans="34:40" ht="14.25" customHeight="1" x14ac:dyDescent="0.3">
      <c r="AH602" s="44"/>
      <c r="AI602" s="49"/>
      <c r="AJ602" s="44"/>
      <c r="AK602" s="44"/>
      <c r="AL602" s="44"/>
      <c r="AM602" s="44"/>
      <c r="AN602" s="44"/>
    </row>
    <row r="603" spans="34:40" ht="14.25" customHeight="1" x14ac:dyDescent="0.3">
      <c r="AH603" s="44"/>
      <c r="AI603" s="49"/>
      <c r="AJ603" s="44"/>
      <c r="AK603" s="44"/>
      <c r="AL603" s="44"/>
      <c r="AM603" s="44"/>
      <c r="AN603" s="44"/>
    </row>
    <row r="604" spans="34:40" ht="14.25" customHeight="1" x14ac:dyDescent="0.3">
      <c r="AH604" s="44"/>
      <c r="AI604" s="49"/>
      <c r="AJ604" s="44"/>
      <c r="AK604" s="44"/>
      <c r="AL604" s="44"/>
      <c r="AM604" s="44"/>
      <c r="AN604" s="44"/>
    </row>
    <row r="605" spans="34:40" ht="14.25" customHeight="1" x14ac:dyDescent="0.3">
      <c r="AH605" s="44"/>
      <c r="AI605" s="49"/>
      <c r="AJ605" s="44"/>
      <c r="AK605" s="44"/>
      <c r="AL605" s="44"/>
      <c r="AM605" s="44"/>
      <c r="AN605" s="44"/>
    </row>
    <row r="606" spans="34:40" ht="14.25" customHeight="1" x14ac:dyDescent="0.3">
      <c r="AH606" s="44"/>
      <c r="AI606" s="49"/>
      <c r="AJ606" s="44"/>
      <c r="AK606" s="44"/>
      <c r="AL606" s="44"/>
      <c r="AM606" s="44"/>
      <c r="AN606" s="44"/>
    </row>
    <row r="607" spans="34:40" ht="14.25" customHeight="1" x14ac:dyDescent="0.3">
      <c r="AH607" s="44"/>
      <c r="AI607" s="49"/>
      <c r="AJ607" s="44"/>
      <c r="AK607" s="44"/>
      <c r="AL607" s="44"/>
      <c r="AM607" s="44"/>
      <c r="AN607" s="44"/>
    </row>
    <row r="608" spans="34:40" ht="14.25" customHeight="1" x14ac:dyDescent="0.3">
      <c r="AH608" s="44"/>
      <c r="AI608" s="49"/>
      <c r="AJ608" s="44"/>
      <c r="AK608" s="44"/>
      <c r="AL608" s="44"/>
      <c r="AM608" s="44"/>
      <c r="AN608" s="44"/>
    </row>
    <row r="609" spans="34:40" ht="14.25" customHeight="1" x14ac:dyDescent="0.3">
      <c r="AH609" s="44"/>
      <c r="AI609" s="49"/>
      <c r="AJ609" s="44"/>
      <c r="AK609" s="44"/>
      <c r="AL609" s="44"/>
      <c r="AM609" s="44"/>
      <c r="AN609" s="44"/>
    </row>
    <row r="610" spans="34:40" ht="14.25" customHeight="1" x14ac:dyDescent="0.3">
      <c r="AH610" s="44"/>
      <c r="AI610" s="49"/>
      <c r="AJ610" s="44"/>
      <c r="AK610" s="44"/>
      <c r="AL610" s="44"/>
      <c r="AM610" s="44"/>
      <c r="AN610" s="44"/>
    </row>
    <row r="611" spans="34:40" ht="14.25" customHeight="1" x14ac:dyDescent="0.3">
      <c r="AH611" s="44"/>
      <c r="AI611" s="49"/>
      <c r="AJ611" s="44"/>
      <c r="AK611" s="44"/>
      <c r="AL611" s="44"/>
      <c r="AM611" s="44"/>
      <c r="AN611" s="44"/>
    </row>
    <row r="612" spans="34:40" ht="14.25" customHeight="1" x14ac:dyDescent="0.3">
      <c r="AH612" s="44"/>
      <c r="AI612" s="49"/>
      <c r="AJ612" s="44"/>
      <c r="AK612" s="44"/>
      <c r="AL612" s="44"/>
      <c r="AM612" s="44"/>
      <c r="AN612" s="44"/>
    </row>
    <row r="613" spans="34:40" ht="14.25" customHeight="1" x14ac:dyDescent="0.3">
      <c r="AH613" s="44"/>
      <c r="AI613" s="49"/>
      <c r="AJ613" s="44"/>
      <c r="AK613" s="44"/>
      <c r="AL613" s="44"/>
      <c r="AM613" s="44"/>
      <c r="AN613" s="44"/>
    </row>
    <row r="614" spans="34:40" ht="14.25" customHeight="1" x14ac:dyDescent="0.3">
      <c r="AH614" s="44"/>
      <c r="AI614" s="49"/>
      <c r="AJ614" s="44"/>
      <c r="AK614" s="44"/>
      <c r="AL614" s="44"/>
      <c r="AM614" s="44"/>
      <c r="AN614" s="44"/>
    </row>
    <row r="615" spans="34:40" ht="14.25" customHeight="1" x14ac:dyDescent="0.3">
      <c r="AH615" s="44"/>
      <c r="AI615" s="49"/>
      <c r="AJ615" s="44"/>
      <c r="AK615" s="44"/>
      <c r="AL615" s="44"/>
      <c r="AM615" s="44"/>
      <c r="AN615" s="44"/>
    </row>
    <row r="616" spans="34:40" ht="14.25" customHeight="1" x14ac:dyDescent="0.3">
      <c r="AH616" s="44"/>
      <c r="AI616" s="49"/>
      <c r="AJ616" s="44"/>
      <c r="AK616" s="44"/>
      <c r="AL616" s="44"/>
      <c r="AM616" s="44"/>
      <c r="AN616" s="44"/>
    </row>
    <row r="617" spans="34:40" ht="14.25" customHeight="1" x14ac:dyDescent="0.3">
      <c r="AH617" s="44"/>
      <c r="AI617" s="49"/>
      <c r="AJ617" s="44"/>
      <c r="AK617" s="44"/>
      <c r="AL617" s="44"/>
      <c r="AM617" s="44"/>
      <c r="AN617" s="44"/>
    </row>
    <row r="618" spans="34:40" ht="14.25" customHeight="1" x14ac:dyDescent="0.3">
      <c r="AH618" s="44"/>
      <c r="AI618" s="49"/>
      <c r="AJ618" s="44"/>
      <c r="AK618" s="44"/>
      <c r="AL618" s="44"/>
      <c r="AM618" s="44"/>
      <c r="AN618" s="44"/>
    </row>
    <row r="619" spans="34:40" ht="14.25" customHeight="1" x14ac:dyDescent="0.3">
      <c r="AH619" s="44"/>
      <c r="AI619" s="49"/>
      <c r="AJ619" s="44"/>
      <c r="AK619" s="44"/>
      <c r="AL619" s="44"/>
      <c r="AM619" s="44"/>
      <c r="AN619" s="44"/>
    </row>
    <row r="620" spans="34:40" ht="14.25" customHeight="1" x14ac:dyDescent="0.3">
      <c r="AH620" s="44"/>
      <c r="AI620" s="49"/>
      <c r="AJ620" s="44"/>
      <c r="AK620" s="44"/>
      <c r="AL620" s="44"/>
      <c r="AM620" s="44"/>
      <c r="AN620" s="44"/>
    </row>
    <row r="621" spans="34:40" ht="14.25" customHeight="1" x14ac:dyDescent="0.3">
      <c r="AH621" s="44"/>
      <c r="AI621" s="49"/>
      <c r="AJ621" s="44"/>
      <c r="AK621" s="44"/>
      <c r="AL621" s="44"/>
      <c r="AM621" s="44"/>
      <c r="AN621" s="44"/>
    </row>
    <row r="622" spans="34:40" ht="14.25" customHeight="1" x14ac:dyDescent="0.3">
      <c r="AH622" s="44"/>
      <c r="AI622" s="49"/>
      <c r="AJ622" s="44"/>
      <c r="AK622" s="44"/>
      <c r="AL622" s="44"/>
      <c r="AM622" s="44"/>
      <c r="AN622" s="44"/>
    </row>
    <row r="623" spans="34:40" ht="14.25" customHeight="1" x14ac:dyDescent="0.3">
      <c r="AH623" s="44"/>
      <c r="AI623" s="49"/>
      <c r="AJ623" s="44"/>
      <c r="AK623" s="44"/>
      <c r="AL623" s="44"/>
      <c r="AM623" s="44"/>
      <c r="AN623" s="44"/>
    </row>
    <row r="624" spans="34:40" ht="14.25" customHeight="1" x14ac:dyDescent="0.3">
      <c r="AH624" s="44"/>
      <c r="AI624" s="49"/>
      <c r="AJ624" s="44"/>
      <c r="AK624" s="44"/>
      <c r="AL624" s="44"/>
      <c r="AM624" s="44"/>
      <c r="AN624" s="44"/>
    </row>
    <row r="625" spans="34:40" ht="14.25" customHeight="1" x14ac:dyDescent="0.3">
      <c r="AH625" s="44"/>
      <c r="AI625" s="49"/>
      <c r="AJ625" s="44"/>
      <c r="AK625" s="44"/>
      <c r="AL625" s="44"/>
      <c r="AM625" s="44"/>
      <c r="AN625" s="44"/>
    </row>
    <row r="626" spans="34:40" ht="14.25" customHeight="1" x14ac:dyDescent="0.3">
      <c r="AH626" s="44"/>
      <c r="AI626" s="49"/>
      <c r="AJ626" s="44"/>
      <c r="AK626" s="44"/>
      <c r="AL626" s="44"/>
      <c r="AM626" s="44"/>
      <c r="AN626" s="44"/>
    </row>
    <row r="627" spans="34:40" ht="14.25" customHeight="1" x14ac:dyDescent="0.3">
      <c r="AH627" s="44"/>
      <c r="AI627" s="49"/>
      <c r="AJ627" s="44"/>
      <c r="AK627" s="44"/>
      <c r="AL627" s="44"/>
      <c r="AM627" s="44"/>
      <c r="AN627" s="44"/>
    </row>
    <row r="628" spans="34:40" ht="14.25" customHeight="1" x14ac:dyDescent="0.3">
      <c r="AH628" s="44"/>
      <c r="AI628" s="49"/>
      <c r="AJ628" s="44"/>
      <c r="AK628" s="44"/>
      <c r="AL628" s="44"/>
      <c r="AM628" s="44"/>
      <c r="AN628" s="44"/>
    </row>
    <row r="629" spans="34:40" ht="14.25" customHeight="1" x14ac:dyDescent="0.3">
      <c r="AH629" s="44"/>
      <c r="AI629" s="49"/>
      <c r="AJ629" s="44"/>
      <c r="AK629" s="44"/>
      <c r="AL629" s="44"/>
      <c r="AM629" s="44"/>
      <c r="AN629" s="44"/>
    </row>
    <row r="630" spans="34:40" ht="14.25" customHeight="1" x14ac:dyDescent="0.3">
      <c r="AH630" s="44"/>
      <c r="AI630" s="49"/>
      <c r="AJ630" s="44"/>
      <c r="AK630" s="44"/>
      <c r="AL630" s="44"/>
      <c r="AM630" s="44"/>
      <c r="AN630" s="44"/>
    </row>
    <row r="631" spans="34:40" ht="14.25" customHeight="1" x14ac:dyDescent="0.3">
      <c r="AH631" s="44"/>
      <c r="AI631" s="49"/>
      <c r="AJ631" s="44"/>
      <c r="AK631" s="44"/>
      <c r="AL631" s="44"/>
      <c r="AM631" s="44"/>
      <c r="AN631" s="44"/>
    </row>
    <row r="632" spans="34:40" ht="14.25" customHeight="1" x14ac:dyDescent="0.3">
      <c r="AH632" s="44"/>
      <c r="AI632" s="49"/>
      <c r="AJ632" s="44"/>
      <c r="AK632" s="44"/>
      <c r="AL632" s="44"/>
      <c r="AM632" s="44"/>
      <c r="AN632" s="44"/>
    </row>
    <row r="633" spans="34:40" ht="14.25" customHeight="1" x14ac:dyDescent="0.3">
      <c r="AH633" s="44"/>
      <c r="AI633" s="49"/>
      <c r="AJ633" s="44"/>
      <c r="AK633" s="44"/>
      <c r="AL633" s="44"/>
      <c r="AM633" s="44"/>
      <c r="AN633" s="44"/>
    </row>
    <row r="634" spans="34:40" ht="14.25" customHeight="1" x14ac:dyDescent="0.3">
      <c r="AH634" s="44"/>
      <c r="AI634" s="49"/>
      <c r="AJ634" s="44"/>
      <c r="AK634" s="44"/>
      <c r="AL634" s="44"/>
      <c r="AM634" s="44"/>
      <c r="AN634" s="44"/>
    </row>
    <row r="635" spans="34:40" ht="14.25" customHeight="1" x14ac:dyDescent="0.3">
      <c r="AH635" s="44"/>
      <c r="AI635" s="49"/>
      <c r="AJ635" s="44"/>
      <c r="AK635" s="44"/>
      <c r="AL635" s="44"/>
      <c r="AM635" s="44"/>
      <c r="AN635" s="44"/>
    </row>
    <row r="636" spans="34:40" ht="14.25" customHeight="1" x14ac:dyDescent="0.3">
      <c r="AH636" s="44"/>
      <c r="AI636" s="49"/>
      <c r="AJ636" s="44"/>
      <c r="AK636" s="44"/>
      <c r="AL636" s="44"/>
      <c r="AM636" s="44"/>
      <c r="AN636" s="44"/>
    </row>
    <row r="637" spans="34:40" ht="14.25" customHeight="1" x14ac:dyDescent="0.3">
      <c r="AH637" s="44"/>
      <c r="AI637" s="49"/>
      <c r="AJ637" s="44"/>
      <c r="AK637" s="44"/>
      <c r="AL637" s="44"/>
      <c r="AM637" s="44"/>
      <c r="AN637" s="44"/>
    </row>
    <row r="638" spans="34:40" ht="14.25" customHeight="1" x14ac:dyDescent="0.3">
      <c r="AH638" s="44"/>
      <c r="AI638" s="49"/>
      <c r="AJ638" s="44"/>
      <c r="AK638" s="44"/>
      <c r="AL638" s="44"/>
      <c r="AM638" s="44"/>
      <c r="AN638" s="44"/>
    </row>
    <row r="639" spans="34:40" ht="14.25" customHeight="1" x14ac:dyDescent="0.3">
      <c r="AH639" s="44"/>
      <c r="AI639" s="49"/>
      <c r="AJ639" s="44"/>
      <c r="AK639" s="44"/>
      <c r="AL639" s="44"/>
      <c r="AM639" s="44"/>
      <c r="AN639" s="44"/>
    </row>
    <row r="640" spans="34:40" ht="14.25" customHeight="1" x14ac:dyDescent="0.3">
      <c r="AH640" s="44"/>
      <c r="AI640" s="49"/>
      <c r="AJ640" s="44"/>
      <c r="AK640" s="44"/>
      <c r="AL640" s="44"/>
      <c r="AM640" s="44"/>
      <c r="AN640" s="44"/>
    </row>
    <row r="641" spans="34:40" ht="14.25" customHeight="1" x14ac:dyDescent="0.3">
      <c r="AH641" s="44"/>
      <c r="AI641" s="49"/>
      <c r="AJ641" s="44"/>
      <c r="AK641" s="44"/>
      <c r="AL641" s="44"/>
      <c r="AM641" s="44"/>
      <c r="AN641" s="44"/>
    </row>
    <row r="642" spans="34:40" ht="14.25" customHeight="1" x14ac:dyDescent="0.3">
      <c r="AH642" s="44"/>
      <c r="AI642" s="49"/>
      <c r="AJ642" s="44"/>
      <c r="AK642" s="44"/>
      <c r="AL642" s="44"/>
      <c r="AM642" s="44"/>
      <c r="AN642" s="44"/>
    </row>
    <row r="643" spans="34:40" ht="14.25" customHeight="1" x14ac:dyDescent="0.3">
      <c r="AH643" s="44"/>
      <c r="AI643" s="49"/>
      <c r="AJ643" s="44"/>
      <c r="AK643" s="44"/>
      <c r="AL643" s="44"/>
      <c r="AM643" s="44"/>
      <c r="AN643" s="44"/>
    </row>
    <row r="644" spans="34:40" ht="14.25" customHeight="1" x14ac:dyDescent="0.3">
      <c r="AH644" s="44"/>
      <c r="AI644" s="49"/>
      <c r="AJ644" s="44"/>
      <c r="AK644" s="44"/>
      <c r="AL644" s="44"/>
      <c r="AM644" s="44"/>
      <c r="AN644" s="44"/>
    </row>
    <row r="645" spans="34:40" ht="14.25" customHeight="1" x14ac:dyDescent="0.3">
      <c r="AH645" s="44"/>
      <c r="AI645" s="49"/>
      <c r="AJ645" s="44"/>
      <c r="AK645" s="44"/>
      <c r="AL645" s="44"/>
      <c r="AM645" s="44"/>
      <c r="AN645" s="44"/>
    </row>
    <row r="646" spans="34:40" ht="14.25" customHeight="1" x14ac:dyDescent="0.3">
      <c r="AH646" s="44"/>
      <c r="AI646" s="49"/>
      <c r="AJ646" s="44"/>
      <c r="AK646" s="44"/>
      <c r="AL646" s="44"/>
      <c r="AM646" s="44"/>
      <c r="AN646" s="44"/>
    </row>
    <row r="647" spans="34:40" ht="14.25" customHeight="1" x14ac:dyDescent="0.3">
      <c r="AH647" s="44"/>
      <c r="AI647" s="49"/>
      <c r="AJ647" s="44"/>
      <c r="AK647" s="44"/>
      <c r="AL647" s="44"/>
      <c r="AM647" s="44"/>
      <c r="AN647" s="44"/>
    </row>
    <row r="648" spans="34:40" ht="14.25" customHeight="1" x14ac:dyDescent="0.3">
      <c r="AH648" s="44"/>
      <c r="AI648" s="49"/>
      <c r="AJ648" s="44"/>
      <c r="AK648" s="44"/>
      <c r="AL648" s="44"/>
      <c r="AM648" s="44"/>
      <c r="AN648" s="44"/>
    </row>
    <row r="649" spans="34:40" ht="14.25" customHeight="1" x14ac:dyDescent="0.3">
      <c r="AH649" s="44"/>
      <c r="AI649" s="49"/>
      <c r="AJ649" s="44"/>
      <c r="AK649" s="44"/>
      <c r="AL649" s="44"/>
      <c r="AM649" s="44"/>
      <c r="AN649" s="44"/>
    </row>
    <row r="650" spans="34:40" ht="14.25" customHeight="1" x14ac:dyDescent="0.3">
      <c r="AH650" s="44"/>
      <c r="AI650" s="49"/>
      <c r="AJ650" s="44"/>
      <c r="AK650" s="44"/>
      <c r="AL650" s="44"/>
      <c r="AM650" s="44"/>
      <c r="AN650" s="44"/>
    </row>
    <row r="651" spans="34:40" ht="14.25" customHeight="1" x14ac:dyDescent="0.3">
      <c r="AH651" s="44"/>
      <c r="AI651" s="49"/>
      <c r="AJ651" s="44"/>
      <c r="AK651" s="44"/>
      <c r="AL651" s="44"/>
      <c r="AM651" s="44"/>
      <c r="AN651" s="44"/>
    </row>
    <row r="652" spans="34:40" ht="14.25" customHeight="1" x14ac:dyDescent="0.3">
      <c r="AH652" s="44"/>
      <c r="AI652" s="49"/>
      <c r="AJ652" s="44"/>
      <c r="AK652" s="44"/>
      <c r="AL652" s="44"/>
      <c r="AM652" s="44"/>
      <c r="AN652" s="44"/>
    </row>
    <row r="653" spans="34:40" ht="14.25" customHeight="1" x14ac:dyDescent="0.3">
      <c r="AH653" s="44"/>
      <c r="AI653" s="49"/>
      <c r="AJ653" s="44"/>
      <c r="AK653" s="44"/>
      <c r="AL653" s="44"/>
      <c r="AM653" s="44"/>
      <c r="AN653" s="44"/>
    </row>
    <row r="654" spans="34:40" ht="14.25" customHeight="1" x14ac:dyDescent="0.3">
      <c r="AH654" s="44"/>
      <c r="AI654" s="49"/>
      <c r="AJ654" s="44"/>
      <c r="AK654" s="44"/>
      <c r="AL654" s="44"/>
      <c r="AM654" s="44"/>
      <c r="AN654" s="44"/>
    </row>
    <row r="655" spans="34:40" ht="14.25" customHeight="1" x14ac:dyDescent="0.3">
      <c r="AH655" s="44"/>
      <c r="AI655" s="49"/>
      <c r="AJ655" s="44"/>
      <c r="AK655" s="44"/>
      <c r="AL655" s="44"/>
      <c r="AM655" s="44"/>
      <c r="AN655" s="44"/>
    </row>
    <row r="656" spans="34:40" ht="14.25" customHeight="1" x14ac:dyDescent="0.3">
      <c r="AH656" s="44"/>
      <c r="AI656" s="49"/>
      <c r="AJ656" s="44"/>
      <c r="AK656" s="44"/>
      <c r="AL656" s="44"/>
      <c r="AM656" s="44"/>
      <c r="AN656" s="44"/>
    </row>
    <row r="657" spans="34:40" ht="14.25" customHeight="1" x14ac:dyDescent="0.3">
      <c r="AH657" s="44"/>
      <c r="AI657" s="49"/>
      <c r="AJ657" s="44"/>
      <c r="AK657" s="44"/>
      <c r="AL657" s="44"/>
      <c r="AM657" s="44"/>
      <c r="AN657" s="44"/>
    </row>
    <row r="658" spans="34:40" ht="14.25" customHeight="1" x14ac:dyDescent="0.3">
      <c r="AH658" s="44"/>
      <c r="AI658" s="49"/>
      <c r="AJ658" s="44"/>
      <c r="AK658" s="44"/>
      <c r="AL658" s="44"/>
      <c r="AM658" s="44"/>
      <c r="AN658" s="44"/>
    </row>
    <row r="659" spans="34:40" ht="14.25" customHeight="1" x14ac:dyDescent="0.3">
      <c r="AH659" s="44"/>
      <c r="AI659" s="49"/>
      <c r="AJ659" s="44"/>
      <c r="AK659" s="44"/>
      <c r="AL659" s="44"/>
      <c r="AM659" s="44"/>
      <c r="AN659" s="44"/>
    </row>
    <row r="660" spans="34:40" ht="14.25" customHeight="1" x14ac:dyDescent="0.3">
      <c r="AH660" s="44"/>
      <c r="AI660" s="49"/>
      <c r="AJ660" s="44"/>
      <c r="AK660" s="44"/>
      <c r="AL660" s="44"/>
      <c r="AM660" s="44"/>
      <c r="AN660" s="44"/>
    </row>
    <row r="661" spans="34:40" ht="14.25" customHeight="1" x14ac:dyDescent="0.3">
      <c r="AH661" s="44"/>
      <c r="AI661" s="49"/>
      <c r="AJ661" s="44"/>
      <c r="AK661" s="44"/>
      <c r="AL661" s="44"/>
      <c r="AM661" s="44"/>
      <c r="AN661" s="44"/>
    </row>
    <row r="662" spans="34:40" ht="14.25" customHeight="1" x14ac:dyDescent="0.3">
      <c r="AH662" s="44"/>
      <c r="AI662" s="49"/>
      <c r="AJ662" s="44"/>
      <c r="AK662" s="44"/>
      <c r="AL662" s="44"/>
      <c r="AM662" s="44"/>
      <c r="AN662" s="44"/>
    </row>
    <row r="663" spans="34:40" ht="14.25" customHeight="1" x14ac:dyDescent="0.3">
      <c r="AH663" s="44"/>
      <c r="AI663" s="49"/>
      <c r="AJ663" s="44"/>
      <c r="AK663" s="44"/>
      <c r="AL663" s="44"/>
      <c r="AM663" s="44"/>
      <c r="AN663" s="44"/>
    </row>
    <row r="664" spans="34:40" ht="14.25" customHeight="1" x14ac:dyDescent="0.3">
      <c r="AH664" s="44"/>
      <c r="AI664" s="49"/>
      <c r="AJ664" s="44"/>
      <c r="AK664" s="44"/>
      <c r="AL664" s="44"/>
      <c r="AM664" s="44"/>
      <c r="AN664" s="44"/>
    </row>
    <row r="665" spans="34:40" ht="14.25" customHeight="1" x14ac:dyDescent="0.3">
      <c r="AH665" s="44"/>
      <c r="AI665" s="49"/>
      <c r="AJ665" s="44"/>
      <c r="AK665" s="44"/>
      <c r="AL665" s="44"/>
      <c r="AM665" s="44"/>
      <c r="AN665" s="44"/>
    </row>
    <row r="666" spans="34:40" ht="14.25" customHeight="1" x14ac:dyDescent="0.3">
      <c r="AH666" s="44"/>
      <c r="AI666" s="49"/>
      <c r="AJ666" s="44"/>
      <c r="AK666" s="44"/>
      <c r="AL666" s="44"/>
      <c r="AM666" s="44"/>
      <c r="AN666" s="44"/>
    </row>
    <row r="667" spans="34:40" ht="14.25" customHeight="1" x14ac:dyDescent="0.3">
      <c r="AH667" s="44"/>
      <c r="AI667" s="49"/>
      <c r="AJ667" s="44"/>
      <c r="AK667" s="44"/>
      <c r="AL667" s="44"/>
      <c r="AM667" s="44"/>
      <c r="AN667" s="44"/>
    </row>
    <row r="668" spans="34:40" ht="14.25" customHeight="1" x14ac:dyDescent="0.3">
      <c r="AH668" s="44"/>
      <c r="AI668" s="49"/>
      <c r="AJ668" s="44"/>
      <c r="AK668" s="44"/>
      <c r="AL668" s="44"/>
      <c r="AM668" s="44"/>
      <c r="AN668" s="44"/>
    </row>
    <row r="669" spans="34:40" ht="14.25" customHeight="1" x14ac:dyDescent="0.3">
      <c r="AH669" s="44"/>
      <c r="AI669" s="49"/>
      <c r="AJ669" s="44"/>
      <c r="AK669" s="44"/>
      <c r="AL669" s="44"/>
      <c r="AM669" s="44"/>
      <c r="AN669" s="44"/>
    </row>
    <row r="670" spans="34:40" ht="14.25" customHeight="1" x14ac:dyDescent="0.3">
      <c r="AH670" s="44"/>
      <c r="AI670" s="49"/>
      <c r="AJ670" s="44"/>
      <c r="AK670" s="44"/>
      <c r="AL670" s="44"/>
      <c r="AM670" s="44"/>
      <c r="AN670" s="44"/>
    </row>
    <row r="671" spans="34:40" ht="14.25" customHeight="1" x14ac:dyDescent="0.3">
      <c r="AH671" s="44"/>
      <c r="AI671" s="49"/>
      <c r="AJ671" s="44"/>
      <c r="AK671" s="44"/>
      <c r="AL671" s="44"/>
      <c r="AM671" s="44"/>
      <c r="AN671" s="44"/>
    </row>
    <row r="672" spans="34:40" ht="14.25" customHeight="1" x14ac:dyDescent="0.3">
      <c r="AH672" s="44"/>
      <c r="AI672" s="49"/>
      <c r="AJ672" s="44"/>
      <c r="AK672" s="44"/>
      <c r="AL672" s="44"/>
      <c r="AM672" s="44"/>
      <c r="AN672" s="44"/>
    </row>
    <row r="673" spans="34:40" ht="14.25" customHeight="1" x14ac:dyDescent="0.3">
      <c r="AH673" s="44"/>
      <c r="AI673" s="49"/>
      <c r="AJ673" s="44"/>
      <c r="AK673" s="44"/>
      <c r="AL673" s="44"/>
      <c r="AM673" s="44"/>
      <c r="AN673" s="44"/>
    </row>
    <row r="674" spans="34:40" ht="14.25" customHeight="1" x14ac:dyDescent="0.3">
      <c r="AH674" s="44"/>
      <c r="AI674" s="49"/>
      <c r="AJ674" s="44"/>
      <c r="AK674" s="44"/>
      <c r="AL674" s="44"/>
      <c r="AM674" s="44"/>
      <c r="AN674" s="44"/>
    </row>
    <row r="675" spans="34:40" ht="14.25" customHeight="1" x14ac:dyDescent="0.3">
      <c r="AH675" s="44"/>
      <c r="AI675" s="49"/>
      <c r="AJ675" s="44"/>
      <c r="AK675" s="44"/>
      <c r="AL675" s="44"/>
      <c r="AM675" s="44"/>
      <c r="AN675" s="44"/>
    </row>
    <row r="676" spans="34:40" ht="14.25" customHeight="1" x14ac:dyDescent="0.3">
      <c r="AH676" s="44"/>
      <c r="AI676" s="49"/>
      <c r="AJ676" s="44"/>
      <c r="AK676" s="44"/>
      <c r="AL676" s="44"/>
      <c r="AM676" s="44"/>
      <c r="AN676" s="44"/>
    </row>
    <row r="677" spans="34:40" ht="14.25" customHeight="1" x14ac:dyDescent="0.3">
      <c r="AH677" s="44"/>
      <c r="AI677" s="49"/>
      <c r="AJ677" s="44"/>
      <c r="AK677" s="44"/>
      <c r="AL677" s="44"/>
      <c r="AM677" s="44"/>
      <c r="AN677" s="44"/>
    </row>
    <row r="678" spans="34:40" ht="14.25" customHeight="1" x14ac:dyDescent="0.3">
      <c r="AH678" s="44"/>
      <c r="AI678" s="49"/>
      <c r="AJ678" s="44"/>
      <c r="AK678" s="44"/>
      <c r="AL678" s="44"/>
      <c r="AM678" s="44"/>
      <c r="AN678" s="44"/>
    </row>
    <row r="679" spans="34:40" ht="14.25" customHeight="1" x14ac:dyDescent="0.3">
      <c r="AH679" s="44"/>
      <c r="AI679" s="49"/>
      <c r="AJ679" s="44"/>
      <c r="AK679" s="44"/>
      <c r="AL679" s="44"/>
      <c r="AM679" s="44"/>
      <c r="AN679" s="44"/>
    </row>
    <row r="680" spans="34:40" ht="14.25" customHeight="1" x14ac:dyDescent="0.3">
      <c r="AH680" s="44"/>
      <c r="AI680" s="49"/>
      <c r="AJ680" s="44"/>
      <c r="AK680" s="44"/>
      <c r="AL680" s="44"/>
      <c r="AM680" s="44"/>
      <c r="AN680" s="44"/>
    </row>
    <row r="681" spans="34:40" ht="14.25" customHeight="1" x14ac:dyDescent="0.3">
      <c r="AH681" s="44"/>
      <c r="AI681" s="49"/>
      <c r="AJ681" s="44"/>
      <c r="AK681" s="44"/>
      <c r="AL681" s="44"/>
      <c r="AM681" s="44"/>
      <c r="AN681" s="44"/>
    </row>
    <row r="682" spans="34:40" ht="14.25" customHeight="1" x14ac:dyDescent="0.3">
      <c r="AH682" s="44"/>
      <c r="AI682" s="49"/>
      <c r="AJ682" s="44"/>
      <c r="AK682" s="44"/>
      <c r="AL682" s="44"/>
      <c r="AM682" s="44"/>
      <c r="AN682" s="44"/>
    </row>
    <row r="683" spans="34:40" ht="14.25" customHeight="1" x14ac:dyDescent="0.3">
      <c r="AH683" s="44"/>
      <c r="AI683" s="49"/>
      <c r="AJ683" s="44"/>
      <c r="AK683" s="44"/>
      <c r="AL683" s="44"/>
      <c r="AM683" s="44"/>
      <c r="AN683" s="44"/>
    </row>
    <row r="684" spans="34:40" ht="14.25" customHeight="1" x14ac:dyDescent="0.3">
      <c r="AH684" s="44"/>
      <c r="AI684" s="49"/>
      <c r="AJ684" s="44"/>
      <c r="AK684" s="44"/>
      <c r="AL684" s="44"/>
      <c r="AM684" s="44"/>
      <c r="AN684" s="44"/>
    </row>
    <row r="685" spans="34:40" ht="14.25" customHeight="1" x14ac:dyDescent="0.3">
      <c r="AH685" s="44"/>
      <c r="AI685" s="49"/>
      <c r="AJ685" s="44"/>
      <c r="AK685" s="44"/>
      <c r="AL685" s="44"/>
      <c r="AM685" s="44"/>
      <c r="AN685" s="44"/>
    </row>
    <row r="686" spans="34:40" ht="14.25" customHeight="1" x14ac:dyDescent="0.3">
      <c r="AH686" s="44"/>
      <c r="AI686" s="49"/>
      <c r="AJ686" s="44"/>
      <c r="AK686" s="44"/>
      <c r="AL686" s="44"/>
      <c r="AM686" s="44"/>
      <c r="AN686" s="44"/>
    </row>
    <row r="687" spans="34:40" ht="14.25" customHeight="1" x14ac:dyDescent="0.3">
      <c r="AH687" s="44"/>
      <c r="AI687" s="49"/>
      <c r="AJ687" s="44"/>
      <c r="AK687" s="44"/>
      <c r="AL687" s="44"/>
      <c r="AM687" s="44"/>
      <c r="AN687" s="44"/>
    </row>
    <row r="688" spans="34:40" ht="14.25" customHeight="1" x14ac:dyDescent="0.3">
      <c r="AH688" s="44"/>
      <c r="AI688" s="49"/>
      <c r="AJ688" s="44"/>
      <c r="AK688" s="44"/>
      <c r="AL688" s="44"/>
      <c r="AM688" s="44"/>
      <c r="AN688" s="44"/>
    </row>
    <row r="689" spans="34:40" ht="14.25" customHeight="1" x14ac:dyDescent="0.3">
      <c r="AH689" s="44"/>
      <c r="AI689" s="49"/>
      <c r="AJ689" s="44"/>
      <c r="AK689" s="44"/>
      <c r="AL689" s="44"/>
      <c r="AM689" s="44"/>
      <c r="AN689" s="44"/>
    </row>
    <row r="690" spans="34:40" ht="14.25" customHeight="1" x14ac:dyDescent="0.3">
      <c r="AH690" s="44"/>
      <c r="AI690" s="49"/>
      <c r="AJ690" s="44"/>
      <c r="AK690" s="44"/>
      <c r="AL690" s="44"/>
      <c r="AM690" s="44"/>
      <c r="AN690" s="44"/>
    </row>
    <row r="691" spans="34:40" ht="14.25" customHeight="1" x14ac:dyDescent="0.3">
      <c r="AH691" s="44"/>
      <c r="AI691" s="49"/>
      <c r="AJ691" s="44"/>
      <c r="AK691" s="44"/>
      <c r="AL691" s="44"/>
      <c r="AM691" s="44"/>
      <c r="AN691" s="44"/>
    </row>
    <row r="692" spans="34:40" ht="14.25" customHeight="1" x14ac:dyDescent="0.3">
      <c r="AH692" s="44"/>
      <c r="AI692" s="49"/>
      <c r="AJ692" s="44"/>
      <c r="AK692" s="44"/>
      <c r="AL692" s="44"/>
      <c r="AM692" s="44"/>
      <c r="AN692" s="44"/>
    </row>
    <row r="693" spans="34:40" ht="14.25" customHeight="1" x14ac:dyDescent="0.3">
      <c r="AH693" s="44"/>
      <c r="AI693" s="49"/>
      <c r="AJ693" s="44"/>
      <c r="AK693" s="44"/>
      <c r="AL693" s="44"/>
      <c r="AM693" s="44"/>
      <c r="AN693" s="44"/>
    </row>
    <row r="694" spans="34:40" ht="14.25" customHeight="1" x14ac:dyDescent="0.3">
      <c r="AH694" s="44"/>
      <c r="AI694" s="49"/>
      <c r="AJ694" s="44"/>
      <c r="AK694" s="44"/>
      <c r="AL694" s="44"/>
      <c r="AM694" s="44"/>
      <c r="AN694" s="44"/>
    </row>
    <row r="695" spans="34:40" ht="14.25" customHeight="1" x14ac:dyDescent="0.3">
      <c r="AH695" s="44"/>
      <c r="AI695" s="49"/>
      <c r="AJ695" s="44"/>
      <c r="AK695" s="44"/>
      <c r="AL695" s="44"/>
      <c r="AM695" s="44"/>
      <c r="AN695" s="44"/>
    </row>
    <row r="696" spans="34:40" ht="14.25" customHeight="1" x14ac:dyDescent="0.3">
      <c r="AH696" s="44"/>
      <c r="AI696" s="49"/>
      <c r="AJ696" s="44"/>
      <c r="AK696" s="44"/>
      <c r="AL696" s="44"/>
      <c r="AM696" s="44"/>
      <c r="AN696" s="44"/>
    </row>
    <row r="697" spans="34:40" ht="14.25" customHeight="1" x14ac:dyDescent="0.3">
      <c r="AH697" s="44"/>
      <c r="AI697" s="49"/>
      <c r="AJ697" s="44"/>
      <c r="AK697" s="44"/>
      <c r="AL697" s="44"/>
      <c r="AM697" s="44"/>
      <c r="AN697" s="44"/>
    </row>
    <row r="698" spans="34:40" ht="14.25" customHeight="1" x14ac:dyDescent="0.3">
      <c r="AH698" s="44"/>
      <c r="AI698" s="49"/>
      <c r="AJ698" s="44"/>
      <c r="AK698" s="44"/>
      <c r="AL698" s="44"/>
      <c r="AM698" s="44"/>
      <c r="AN698" s="44"/>
    </row>
    <row r="699" spans="34:40" ht="14.25" customHeight="1" x14ac:dyDescent="0.3">
      <c r="AH699" s="44"/>
      <c r="AI699" s="49"/>
      <c r="AJ699" s="44"/>
      <c r="AK699" s="44"/>
      <c r="AL699" s="44"/>
      <c r="AM699" s="44"/>
      <c r="AN699" s="44"/>
    </row>
    <row r="700" spans="34:40" ht="14.25" customHeight="1" x14ac:dyDescent="0.3">
      <c r="AH700" s="44"/>
      <c r="AI700" s="49"/>
      <c r="AJ700" s="44"/>
      <c r="AK700" s="44"/>
      <c r="AL700" s="44"/>
      <c r="AM700" s="44"/>
      <c r="AN700" s="44"/>
    </row>
    <row r="701" spans="34:40" ht="14.25" customHeight="1" x14ac:dyDescent="0.3">
      <c r="AH701" s="44"/>
      <c r="AI701" s="49"/>
      <c r="AJ701" s="44"/>
      <c r="AK701" s="44"/>
      <c r="AL701" s="44"/>
      <c r="AM701" s="44"/>
      <c r="AN701" s="44"/>
    </row>
    <row r="702" spans="34:40" ht="14.25" customHeight="1" x14ac:dyDescent="0.3">
      <c r="AH702" s="44"/>
      <c r="AI702" s="49"/>
      <c r="AJ702" s="44"/>
      <c r="AK702" s="44"/>
      <c r="AL702" s="44"/>
      <c r="AM702" s="44"/>
      <c r="AN702" s="44"/>
    </row>
    <row r="703" spans="34:40" ht="14.25" customHeight="1" x14ac:dyDescent="0.3">
      <c r="AH703" s="44"/>
      <c r="AI703" s="49"/>
      <c r="AJ703" s="44"/>
      <c r="AK703" s="44"/>
      <c r="AL703" s="44"/>
      <c r="AM703" s="44"/>
      <c r="AN703" s="44"/>
    </row>
    <row r="704" spans="34:40" ht="14.25" customHeight="1" x14ac:dyDescent="0.3">
      <c r="AH704" s="44"/>
      <c r="AI704" s="49"/>
      <c r="AJ704" s="44"/>
      <c r="AK704" s="44"/>
      <c r="AL704" s="44"/>
      <c r="AM704" s="44"/>
      <c r="AN704" s="44"/>
    </row>
    <row r="705" spans="34:40" ht="14.25" customHeight="1" x14ac:dyDescent="0.3">
      <c r="AH705" s="44"/>
      <c r="AI705" s="49"/>
      <c r="AJ705" s="44"/>
      <c r="AK705" s="44"/>
      <c r="AL705" s="44"/>
      <c r="AM705" s="44"/>
      <c r="AN705" s="44"/>
    </row>
    <row r="706" spans="34:40" ht="14.25" customHeight="1" x14ac:dyDescent="0.3">
      <c r="AH706" s="44"/>
      <c r="AI706" s="49"/>
      <c r="AJ706" s="44"/>
      <c r="AK706" s="44"/>
      <c r="AL706" s="44"/>
      <c r="AM706" s="44"/>
      <c r="AN706" s="44"/>
    </row>
    <row r="707" spans="34:40" ht="14.25" customHeight="1" x14ac:dyDescent="0.3">
      <c r="AH707" s="44"/>
      <c r="AI707" s="49"/>
      <c r="AJ707" s="44"/>
      <c r="AK707" s="44"/>
      <c r="AL707" s="44"/>
      <c r="AM707" s="44"/>
      <c r="AN707" s="44"/>
    </row>
    <row r="708" spans="34:40" ht="14.25" customHeight="1" x14ac:dyDescent="0.3">
      <c r="AH708" s="44"/>
      <c r="AI708" s="49"/>
      <c r="AJ708" s="44"/>
      <c r="AK708" s="44"/>
      <c r="AL708" s="44"/>
      <c r="AM708" s="44"/>
      <c r="AN708" s="44"/>
    </row>
    <row r="709" spans="34:40" ht="14.25" customHeight="1" x14ac:dyDescent="0.3">
      <c r="AH709" s="44"/>
      <c r="AI709" s="49"/>
      <c r="AJ709" s="44"/>
      <c r="AK709" s="44"/>
      <c r="AL709" s="44"/>
      <c r="AM709" s="44"/>
      <c r="AN709" s="44"/>
    </row>
    <row r="710" spans="34:40" ht="14.25" customHeight="1" x14ac:dyDescent="0.3">
      <c r="AH710" s="44"/>
      <c r="AI710" s="49"/>
      <c r="AJ710" s="44"/>
      <c r="AK710" s="44"/>
      <c r="AL710" s="44"/>
      <c r="AM710" s="44"/>
      <c r="AN710" s="44"/>
    </row>
    <row r="711" spans="34:40" ht="14.25" customHeight="1" x14ac:dyDescent="0.3">
      <c r="AH711" s="44"/>
      <c r="AI711" s="49"/>
      <c r="AJ711" s="44"/>
      <c r="AK711" s="44"/>
      <c r="AL711" s="44"/>
      <c r="AM711" s="44"/>
      <c r="AN711" s="44"/>
    </row>
    <row r="712" spans="34:40" ht="14.25" customHeight="1" x14ac:dyDescent="0.3">
      <c r="AH712" s="44"/>
      <c r="AI712" s="49"/>
      <c r="AJ712" s="44"/>
      <c r="AK712" s="44"/>
      <c r="AL712" s="44"/>
      <c r="AM712" s="44"/>
      <c r="AN712" s="44"/>
    </row>
    <row r="713" spans="34:40" ht="14.25" customHeight="1" x14ac:dyDescent="0.3">
      <c r="AH713" s="44"/>
      <c r="AI713" s="49"/>
      <c r="AJ713" s="44"/>
      <c r="AK713" s="44"/>
      <c r="AL713" s="44"/>
      <c r="AM713" s="44"/>
      <c r="AN713" s="44"/>
    </row>
    <row r="714" spans="34:40" ht="14.25" customHeight="1" x14ac:dyDescent="0.3">
      <c r="AH714" s="44"/>
      <c r="AI714" s="49"/>
      <c r="AJ714" s="44"/>
      <c r="AK714" s="44"/>
      <c r="AL714" s="44"/>
      <c r="AM714" s="44"/>
      <c r="AN714" s="44"/>
    </row>
    <row r="715" spans="34:40" ht="14.25" customHeight="1" x14ac:dyDescent="0.3">
      <c r="AH715" s="44"/>
      <c r="AI715" s="49"/>
      <c r="AJ715" s="44"/>
      <c r="AK715" s="44"/>
      <c r="AL715" s="44"/>
      <c r="AM715" s="44"/>
      <c r="AN715" s="44"/>
    </row>
    <row r="716" spans="34:40" ht="14.25" customHeight="1" x14ac:dyDescent="0.3">
      <c r="AH716" s="44"/>
      <c r="AI716" s="49"/>
      <c r="AJ716" s="44"/>
      <c r="AK716" s="44"/>
      <c r="AL716" s="44"/>
      <c r="AM716" s="44"/>
      <c r="AN716" s="44"/>
    </row>
    <row r="717" spans="34:40" ht="14.25" customHeight="1" x14ac:dyDescent="0.3">
      <c r="AH717" s="44"/>
      <c r="AI717" s="49"/>
      <c r="AJ717" s="44"/>
      <c r="AK717" s="44"/>
      <c r="AL717" s="44"/>
      <c r="AM717" s="44"/>
      <c r="AN717" s="44"/>
    </row>
    <row r="718" spans="34:40" ht="14.25" customHeight="1" x14ac:dyDescent="0.3">
      <c r="AH718" s="44"/>
      <c r="AI718" s="49"/>
      <c r="AJ718" s="44"/>
      <c r="AK718" s="44"/>
      <c r="AL718" s="44"/>
      <c r="AM718" s="44"/>
      <c r="AN718" s="44"/>
    </row>
    <row r="719" spans="34:40" ht="14.25" customHeight="1" x14ac:dyDescent="0.3">
      <c r="AH719" s="44"/>
      <c r="AI719" s="49"/>
      <c r="AJ719" s="44"/>
      <c r="AK719" s="44"/>
      <c r="AL719" s="44"/>
      <c r="AM719" s="44"/>
      <c r="AN719" s="44"/>
    </row>
    <row r="720" spans="34:40" ht="14.25" customHeight="1" x14ac:dyDescent="0.3">
      <c r="AH720" s="44"/>
      <c r="AI720" s="49"/>
      <c r="AJ720" s="44"/>
      <c r="AK720" s="44"/>
      <c r="AL720" s="44"/>
      <c r="AM720" s="44"/>
      <c r="AN720" s="44"/>
    </row>
    <row r="721" spans="34:40" ht="14.25" customHeight="1" x14ac:dyDescent="0.3">
      <c r="AH721" s="44"/>
      <c r="AI721" s="49"/>
      <c r="AJ721" s="44"/>
      <c r="AK721" s="44"/>
      <c r="AL721" s="44"/>
      <c r="AM721" s="44"/>
      <c r="AN721" s="44"/>
    </row>
    <row r="722" spans="34:40" ht="14.25" customHeight="1" x14ac:dyDescent="0.3">
      <c r="AH722" s="44"/>
      <c r="AI722" s="49"/>
      <c r="AJ722" s="44"/>
      <c r="AK722" s="44"/>
      <c r="AL722" s="44"/>
      <c r="AM722" s="44"/>
      <c r="AN722" s="44"/>
    </row>
    <row r="723" spans="34:40" ht="14.25" customHeight="1" x14ac:dyDescent="0.3">
      <c r="AH723" s="44"/>
      <c r="AI723" s="49"/>
      <c r="AJ723" s="44"/>
      <c r="AK723" s="44"/>
      <c r="AL723" s="44"/>
      <c r="AM723" s="44"/>
      <c r="AN723" s="44"/>
    </row>
    <row r="724" spans="34:40" ht="14.25" customHeight="1" x14ac:dyDescent="0.3">
      <c r="AH724" s="44"/>
      <c r="AI724" s="49"/>
      <c r="AJ724" s="44"/>
      <c r="AK724" s="44"/>
      <c r="AL724" s="44"/>
      <c r="AM724" s="44"/>
      <c r="AN724" s="44"/>
    </row>
    <row r="725" spans="34:40" ht="14.25" customHeight="1" x14ac:dyDescent="0.3">
      <c r="AH725" s="44"/>
      <c r="AI725" s="49"/>
      <c r="AJ725" s="44"/>
      <c r="AK725" s="44"/>
      <c r="AL725" s="44"/>
      <c r="AM725" s="44"/>
      <c r="AN725" s="44"/>
    </row>
    <row r="726" spans="34:40" ht="14.25" customHeight="1" x14ac:dyDescent="0.3">
      <c r="AH726" s="44"/>
      <c r="AI726" s="49"/>
      <c r="AJ726" s="44"/>
      <c r="AK726" s="44"/>
      <c r="AL726" s="44"/>
      <c r="AM726" s="44"/>
      <c r="AN726" s="44"/>
    </row>
    <row r="727" spans="34:40" ht="14.25" customHeight="1" x14ac:dyDescent="0.3">
      <c r="AH727" s="44"/>
      <c r="AI727" s="49"/>
      <c r="AJ727" s="44"/>
      <c r="AK727" s="44"/>
      <c r="AL727" s="44"/>
      <c r="AM727" s="44"/>
      <c r="AN727" s="44"/>
    </row>
    <row r="728" spans="34:40" ht="14.25" customHeight="1" x14ac:dyDescent="0.3">
      <c r="AH728" s="44"/>
      <c r="AI728" s="49"/>
      <c r="AJ728" s="44"/>
      <c r="AK728" s="44"/>
      <c r="AL728" s="44"/>
      <c r="AM728" s="44"/>
      <c r="AN728" s="44"/>
    </row>
    <row r="729" spans="34:40" ht="14.25" customHeight="1" x14ac:dyDescent="0.3">
      <c r="AH729" s="44"/>
      <c r="AI729" s="49"/>
      <c r="AJ729" s="44"/>
      <c r="AK729" s="44"/>
      <c r="AL729" s="44"/>
      <c r="AM729" s="44"/>
      <c r="AN729" s="44"/>
    </row>
    <row r="730" spans="34:40" ht="14.25" customHeight="1" x14ac:dyDescent="0.3">
      <c r="AH730" s="44"/>
      <c r="AI730" s="49"/>
      <c r="AJ730" s="44"/>
      <c r="AK730" s="44"/>
      <c r="AL730" s="44"/>
      <c r="AM730" s="44"/>
      <c r="AN730" s="44"/>
    </row>
    <row r="731" spans="34:40" ht="14.25" customHeight="1" x14ac:dyDescent="0.3">
      <c r="AH731" s="44"/>
      <c r="AI731" s="49"/>
      <c r="AJ731" s="44"/>
      <c r="AK731" s="44"/>
      <c r="AL731" s="44"/>
      <c r="AM731" s="44"/>
      <c r="AN731" s="44"/>
    </row>
    <row r="732" spans="34:40" ht="14.25" customHeight="1" x14ac:dyDescent="0.3">
      <c r="AH732" s="44"/>
      <c r="AI732" s="49"/>
      <c r="AJ732" s="44"/>
      <c r="AK732" s="44"/>
      <c r="AL732" s="44"/>
      <c r="AM732" s="44"/>
      <c r="AN732" s="44"/>
    </row>
    <row r="733" spans="34:40" ht="14.25" customHeight="1" x14ac:dyDescent="0.3">
      <c r="AH733" s="44"/>
      <c r="AI733" s="49"/>
      <c r="AJ733" s="44"/>
      <c r="AK733" s="44"/>
      <c r="AL733" s="44"/>
      <c r="AM733" s="44"/>
      <c r="AN733" s="44"/>
    </row>
    <row r="734" spans="34:40" ht="14.25" customHeight="1" x14ac:dyDescent="0.3">
      <c r="AH734" s="44"/>
      <c r="AI734" s="49"/>
      <c r="AJ734" s="44"/>
      <c r="AK734" s="44"/>
      <c r="AL734" s="44"/>
      <c r="AM734" s="44"/>
      <c r="AN734" s="44"/>
    </row>
    <row r="735" spans="34:40" ht="14.25" customHeight="1" x14ac:dyDescent="0.3">
      <c r="AH735" s="44"/>
      <c r="AI735" s="49"/>
      <c r="AJ735" s="44"/>
      <c r="AK735" s="44"/>
      <c r="AL735" s="44"/>
      <c r="AM735" s="44"/>
      <c r="AN735" s="44"/>
    </row>
    <row r="736" spans="34:40" ht="14.25" customHeight="1" x14ac:dyDescent="0.3">
      <c r="AH736" s="44"/>
      <c r="AI736" s="49"/>
      <c r="AJ736" s="44"/>
      <c r="AK736" s="44"/>
      <c r="AL736" s="44"/>
      <c r="AM736" s="44"/>
      <c r="AN736" s="44"/>
    </row>
    <row r="737" spans="34:40" ht="14.25" customHeight="1" x14ac:dyDescent="0.3">
      <c r="AH737" s="44"/>
      <c r="AI737" s="49"/>
      <c r="AJ737" s="44"/>
      <c r="AK737" s="44"/>
      <c r="AL737" s="44"/>
      <c r="AM737" s="44"/>
      <c r="AN737" s="44"/>
    </row>
    <row r="738" spans="34:40" ht="14.25" customHeight="1" x14ac:dyDescent="0.3">
      <c r="AH738" s="44"/>
      <c r="AI738" s="49"/>
      <c r="AJ738" s="44"/>
      <c r="AK738" s="44"/>
      <c r="AL738" s="44"/>
      <c r="AM738" s="44"/>
      <c r="AN738" s="44"/>
    </row>
    <row r="739" spans="34:40" ht="14.25" customHeight="1" x14ac:dyDescent="0.3">
      <c r="AH739" s="44"/>
      <c r="AI739" s="49"/>
      <c r="AJ739" s="44"/>
      <c r="AK739" s="44"/>
      <c r="AL739" s="44"/>
      <c r="AM739" s="44"/>
      <c r="AN739" s="44"/>
    </row>
    <row r="740" spans="34:40" ht="14.25" customHeight="1" x14ac:dyDescent="0.3">
      <c r="AH740" s="44"/>
      <c r="AI740" s="49"/>
      <c r="AJ740" s="44"/>
      <c r="AK740" s="44"/>
      <c r="AL740" s="44"/>
      <c r="AM740" s="44"/>
      <c r="AN740" s="44"/>
    </row>
    <row r="741" spans="34:40" ht="14.25" customHeight="1" x14ac:dyDescent="0.3">
      <c r="AH741" s="44"/>
      <c r="AI741" s="49"/>
      <c r="AJ741" s="44"/>
      <c r="AK741" s="44"/>
      <c r="AL741" s="44"/>
      <c r="AM741" s="44"/>
      <c r="AN741" s="44"/>
    </row>
    <row r="742" spans="34:40" ht="14.25" customHeight="1" x14ac:dyDescent="0.3">
      <c r="AH742" s="44"/>
      <c r="AI742" s="49"/>
      <c r="AJ742" s="44"/>
      <c r="AK742" s="44"/>
      <c r="AL742" s="44"/>
      <c r="AM742" s="44"/>
      <c r="AN742" s="44"/>
    </row>
    <row r="743" spans="34:40" ht="14.25" customHeight="1" x14ac:dyDescent="0.3">
      <c r="AH743" s="44"/>
      <c r="AI743" s="49"/>
      <c r="AJ743" s="44"/>
      <c r="AK743" s="44"/>
      <c r="AL743" s="44"/>
      <c r="AM743" s="44"/>
      <c r="AN743" s="44"/>
    </row>
    <row r="744" spans="34:40" ht="14.25" customHeight="1" x14ac:dyDescent="0.3">
      <c r="AH744" s="44"/>
      <c r="AI744" s="49"/>
      <c r="AJ744" s="44"/>
      <c r="AK744" s="44"/>
      <c r="AL744" s="44"/>
      <c r="AM744" s="44"/>
      <c r="AN744" s="44"/>
    </row>
    <row r="745" spans="34:40" ht="14.25" customHeight="1" x14ac:dyDescent="0.3">
      <c r="AH745" s="44"/>
      <c r="AI745" s="49"/>
      <c r="AJ745" s="44"/>
      <c r="AK745" s="44"/>
      <c r="AL745" s="44"/>
      <c r="AM745" s="44"/>
      <c r="AN745" s="44"/>
    </row>
    <row r="746" spans="34:40" ht="14.25" customHeight="1" x14ac:dyDescent="0.3">
      <c r="AH746" s="44"/>
      <c r="AI746" s="49"/>
      <c r="AJ746" s="44"/>
      <c r="AK746" s="44"/>
      <c r="AL746" s="44"/>
      <c r="AM746" s="44"/>
      <c r="AN746" s="44"/>
    </row>
    <row r="747" spans="34:40" ht="14.25" customHeight="1" x14ac:dyDescent="0.3">
      <c r="AH747" s="44"/>
      <c r="AI747" s="49"/>
      <c r="AJ747" s="44"/>
      <c r="AK747" s="44"/>
      <c r="AL747" s="44"/>
      <c r="AM747" s="44"/>
      <c r="AN747" s="44"/>
    </row>
    <row r="748" spans="34:40" ht="14.25" customHeight="1" x14ac:dyDescent="0.3">
      <c r="AH748" s="44"/>
      <c r="AI748" s="49"/>
      <c r="AJ748" s="44"/>
      <c r="AK748" s="44"/>
      <c r="AL748" s="44"/>
      <c r="AM748" s="44"/>
      <c r="AN748" s="44"/>
    </row>
    <row r="749" spans="34:40" ht="14.25" customHeight="1" x14ac:dyDescent="0.3">
      <c r="AH749" s="44"/>
      <c r="AI749" s="49"/>
      <c r="AJ749" s="44"/>
      <c r="AK749" s="44"/>
      <c r="AL749" s="44"/>
      <c r="AM749" s="44"/>
      <c r="AN749" s="44"/>
    </row>
    <row r="750" spans="34:40" ht="14.25" customHeight="1" x14ac:dyDescent="0.3">
      <c r="AH750" s="44"/>
      <c r="AI750" s="49"/>
      <c r="AJ750" s="44"/>
      <c r="AK750" s="44"/>
      <c r="AL750" s="44"/>
      <c r="AM750" s="44"/>
      <c r="AN750" s="44"/>
    </row>
    <row r="751" spans="34:40" ht="14.25" customHeight="1" x14ac:dyDescent="0.3">
      <c r="AH751" s="44"/>
      <c r="AI751" s="49"/>
      <c r="AJ751" s="44"/>
      <c r="AK751" s="44"/>
      <c r="AL751" s="44"/>
      <c r="AM751" s="44"/>
      <c r="AN751" s="44"/>
    </row>
    <row r="752" spans="34:40" ht="14.25" customHeight="1" x14ac:dyDescent="0.3">
      <c r="AH752" s="44"/>
      <c r="AI752" s="49"/>
      <c r="AJ752" s="44"/>
      <c r="AK752" s="44"/>
      <c r="AL752" s="44"/>
      <c r="AM752" s="44"/>
      <c r="AN752" s="44"/>
    </row>
    <row r="753" spans="34:40" ht="14.25" customHeight="1" x14ac:dyDescent="0.3">
      <c r="AH753" s="44"/>
      <c r="AI753" s="49"/>
      <c r="AJ753" s="44"/>
      <c r="AK753" s="44"/>
      <c r="AL753" s="44"/>
      <c r="AM753" s="44"/>
      <c r="AN753" s="44"/>
    </row>
    <row r="754" spans="34:40" ht="14.25" customHeight="1" x14ac:dyDescent="0.3">
      <c r="AH754" s="44"/>
      <c r="AI754" s="49"/>
      <c r="AJ754" s="44"/>
      <c r="AK754" s="44"/>
      <c r="AL754" s="44"/>
      <c r="AM754" s="44"/>
      <c r="AN754" s="44"/>
    </row>
    <row r="755" spans="34:40" ht="14.25" customHeight="1" x14ac:dyDescent="0.3">
      <c r="AH755" s="44"/>
      <c r="AI755" s="49"/>
      <c r="AJ755" s="44"/>
      <c r="AK755" s="44"/>
      <c r="AL755" s="44"/>
      <c r="AM755" s="44"/>
      <c r="AN755" s="44"/>
    </row>
    <row r="756" spans="34:40" ht="14.25" customHeight="1" x14ac:dyDescent="0.3">
      <c r="AH756" s="44"/>
      <c r="AI756" s="49"/>
      <c r="AJ756" s="44"/>
      <c r="AK756" s="44"/>
      <c r="AL756" s="44"/>
      <c r="AM756" s="44"/>
      <c r="AN756" s="44"/>
    </row>
    <row r="757" spans="34:40" ht="14.25" customHeight="1" x14ac:dyDescent="0.3">
      <c r="AH757" s="44"/>
      <c r="AI757" s="49"/>
      <c r="AJ757" s="44"/>
      <c r="AK757" s="44"/>
      <c r="AL757" s="44"/>
      <c r="AM757" s="44"/>
      <c r="AN757" s="44"/>
    </row>
    <row r="758" spans="34:40" ht="14.25" customHeight="1" x14ac:dyDescent="0.3">
      <c r="AH758" s="44"/>
      <c r="AI758" s="49"/>
      <c r="AJ758" s="44"/>
      <c r="AK758" s="44"/>
      <c r="AL758" s="44"/>
      <c r="AM758" s="44"/>
      <c r="AN758" s="44"/>
    </row>
    <row r="759" spans="34:40" ht="14.25" customHeight="1" x14ac:dyDescent="0.3">
      <c r="AH759" s="44"/>
      <c r="AI759" s="49"/>
      <c r="AJ759" s="44"/>
      <c r="AK759" s="44"/>
      <c r="AL759" s="44"/>
      <c r="AM759" s="44"/>
      <c r="AN759" s="44"/>
    </row>
    <row r="760" spans="34:40" ht="14.25" customHeight="1" x14ac:dyDescent="0.3">
      <c r="AH760" s="44"/>
      <c r="AI760" s="49"/>
      <c r="AJ760" s="44"/>
      <c r="AK760" s="44"/>
      <c r="AL760" s="44"/>
      <c r="AM760" s="44"/>
      <c r="AN760" s="44"/>
    </row>
    <row r="761" spans="34:40" ht="14.25" customHeight="1" x14ac:dyDescent="0.3">
      <c r="AH761" s="44"/>
      <c r="AI761" s="49"/>
      <c r="AJ761" s="44"/>
      <c r="AK761" s="44"/>
      <c r="AL761" s="44"/>
      <c r="AM761" s="44"/>
      <c r="AN761" s="44"/>
    </row>
    <row r="762" spans="34:40" ht="14.25" customHeight="1" x14ac:dyDescent="0.3">
      <c r="AH762" s="44"/>
      <c r="AI762" s="49"/>
      <c r="AJ762" s="44"/>
      <c r="AK762" s="44"/>
      <c r="AL762" s="44"/>
      <c r="AM762" s="44"/>
      <c r="AN762" s="44"/>
    </row>
    <row r="763" spans="34:40" ht="14.25" customHeight="1" x14ac:dyDescent="0.3">
      <c r="AH763" s="44"/>
      <c r="AI763" s="49"/>
      <c r="AJ763" s="44"/>
      <c r="AK763" s="44"/>
      <c r="AL763" s="44"/>
      <c r="AM763" s="44"/>
      <c r="AN763" s="44"/>
    </row>
    <row r="764" spans="34:40" ht="14.25" customHeight="1" x14ac:dyDescent="0.3">
      <c r="AH764" s="44"/>
      <c r="AI764" s="49"/>
      <c r="AJ764" s="44"/>
      <c r="AK764" s="44"/>
      <c r="AL764" s="44"/>
      <c r="AM764" s="44"/>
      <c r="AN764" s="44"/>
    </row>
    <row r="765" spans="34:40" ht="14.25" customHeight="1" x14ac:dyDescent="0.3">
      <c r="AH765" s="44"/>
      <c r="AI765" s="49"/>
      <c r="AJ765" s="44"/>
      <c r="AK765" s="44"/>
      <c r="AL765" s="44"/>
      <c r="AM765" s="44"/>
      <c r="AN765" s="44"/>
    </row>
    <row r="766" spans="34:40" ht="14.25" customHeight="1" x14ac:dyDescent="0.3">
      <c r="AH766" s="44"/>
      <c r="AI766" s="49"/>
      <c r="AJ766" s="44"/>
      <c r="AK766" s="44"/>
      <c r="AL766" s="44"/>
      <c r="AM766" s="44"/>
      <c r="AN766" s="44"/>
    </row>
    <row r="767" spans="34:40" ht="14.25" customHeight="1" x14ac:dyDescent="0.3">
      <c r="AH767" s="44"/>
      <c r="AI767" s="49"/>
      <c r="AJ767" s="44"/>
      <c r="AK767" s="44"/>
      <c r="AL767" s="44"/>
      <c r="AM767" s="44"/>
      <c r="AN767" s="44"/>
    </row>
    <row r="768" spans="34:40" ht="14.25" customHeight="1" x14ac:dyDescent="0.3">
      <c r="AH768" s="44"/>
      <c r="AI768" s="49"/>
      <c r="AJ768" s="44"/>
      <c r="AK768" s="44"/>
      <c r="AL768" s="44"/>
      <c r="AM768" s="44"/>
      <c r="AN768" s="44"/>
    </row>
    <row r="769" spans="34:40" ht="14.25" customHeight="1" x14ac:dyDescent="0.3">
      <c r="AH769" s="44"/>
      <c r="AI769" s="49"/>
      <c r="AJ769" s="44"/>
      <c r="AK769" s="44"/>
      <c r="AL769" s="44"/>
      <c r="AM769" s="44"/>
      <c r="AN769" s="44"/>
    </row>
    <row r="770" spans="34:40" ht="14.25" customHeight="1" x14ac:dyDescent="0.3">
      <c r="AH770" s="44"/>
      <c r="AI770" s="49"/>
      <c r="AJ770" s="44"/>
      <c r="AK770" s="44"/>
      <c r="AL770" s="44"/>
      <c r="AM770" s="44"/>
      <c r="AN770" s="44"/>
    </row>
    <row r="771" spans="34:40" ht="14.25" customHeight="1" x14ac:dyDescent="0.3">
      <c r="AH771" s="44"/>
      <c r="AI771" s="49"/>
      <c r="AJ771" s="44"/>
      <c r="AK771" s="44"/>
      <c r="AL771" s="44"/>
      <c r="AM771" s="44"/>
      <c r="AN771" s="44"/>
    </row>
    <row r="772" spans="34:40" ht="14.25" customHeight="1" x14ac:dyDescent="0.3">
      <c r="AH772" s="44"/>
      <c r="AI772" s="49"/>
      <c r="AJ772" s="44"/>
      <c r="AK772" s="44"/>
      <c r="AL772" s="44"/>
      <c r="AM772" s="44"/>
      <c r="AN772" s="44"/>
    </row>
    <row r="773" spans="34:40" ht="14.25" customHeight="1" x14ac:dyDescent="0.3">
      <c r="AH773" s="44"/>
      <c r="AI773" s="49"/>
      <c r="AJ773" s="44"/>
      <c r="AK773" s="44"/>
      <c r="AL773" s="44"/>
      <c r="AM773" s="44"/>
      <c r="AN773" s="44"/>
    </row>
    <row r="774" spans="34:40" ht="14.25" customHeight="1" x14ac:dyDescent="0.3">
      <c r="AH774" s="44"/>
      <c r="AI774" s="49"/>
      <c r="AJ774" s="44"/>
      <c r="AK774" s="44"/>
      <c r="AL774" s="44"/>
      <c r="AM774" s="44"/>
      <c r="AN774" s="44"/>
    </row>
    <row r="775" spans="34:40" ht="14.25" customHeight="1" x14ac:dyDescent="0.3">
      <c r="AH775" s="44"/>
      <c r="AI775" s="49"/>
      <c r="AJ775" s="44"/>
      <c r="AK775" s="44"/>
      <c r="AL775" s="44"/>
      <c r="AM775" s="44"/>
      <c r="AN775" s="44"/>
    </row>
    <row r="776" spans="34:40" ht="14.25" customHeight="1" x14ac:dyDescent="0.3">
      <c r="AH776" s="44"/>
      <c r="AI776" s="49"/>
      <c r="AJ776" s="44"/>
      <c r="AK776" s="44"/>
      <c r="AL776" s="44"/>
      <c r="AM776" s="44"/>
      <c r="AN776" s="44"/>
    </row>
    <row r="777" spans="34:40" ht="14.25" customHeight="1" x14ac:dyDescent="0.3">
      <c r="AH777" s="44"/>
      <c r="AI777" s="49"/>
      <c r="AJ777" s="44"/>
      <c r="AK777" s="44"/>
      <c r="AL777" s="44"/>
      <c r="AM777" s="44"/>
      <c r="AN777" s="44"/>
    </row>
    <row r="778" spans="34:40" ht="14.25" customHeight="1" x14ac:dyDescent="0.3">
      <c r="AH778" s="44"/>
      <c r="AI778" s="49"/>
      <c r="AJ778" s="44"/>
      <c r="AK778" s="44"/>
      <c r="AL778" s="44"/>
      <c r="AM778" s="44"/>
      <c r="AN778" s="44"/>
    </row>
    <row r="779" spans="34:40" ht="14.25" customHeight="1" x14ac:dyDescent="0.3">
      <c r="AH779" s="44"/>
      <c r="AI779" s="49"/>
      <c r="AJ779" s="44"/>
      <c r="AK779" s="44"/>
      <c r="AL779" s="44"/>
      <c r="AM779" s="44"/>
      <c r="AN779" s="44"/>
    </row>
    <row r="780" spans="34:40" ht="14.25" customHeight="1" x14ac:dyDescent="0.3">
      <c r="AH780" s="44"/>
      <c r="AI780" s="49"/>
      <c r="AJ780" s="44"/>
      <c r="AK780" s="44"/>
      <c r="AL780" s="44"/>
      <c r="AM780" s="44"/>
      <c r="AN780" s="44"/>
    </row>
    <row r="781" spans="34:40" ht="14.25" customHeight="1" x14ac:dyDescent="0.3">
      <c r="AH781" s="44"/>
      <c r="AI781" s="49"/>
      <c r="AJ781" s="44"/>
      <c r="AK781" s="44"/>
      <c r="AL781" s="44"/>
      <c r="AM781" s="44"/>
      <c r="AN781" s="44"/>
    </row>
    <row r="782" spans="34:40" ht="14.25" customHeight="1" x14ac:dyDescent="0.3">
      <c r="AH782" s="44"/>
      <c r="AI782" s="49"/>
      <c r="AJ782" s="44"/>
      <c r="AK782" s="44"/>
      <c r="AL782" s="44"/>
      <c r="AM782" s="44"/>
      <c r="AN782" s="44"/>
    </row>
    <row r="783" spans="34:40" ht="14.25" customHeight="1" x14ac:dyDescent="0.3">
      <c r="AH783" s="44"/>
      <c r="AI783" s="49"/>
      <c r="AJ783" s="44"/>
      <c r="AK783" s="44"/>
      <c r="AL783" s="44"/>
      <c r="AM783" s="44"/>
      <c r="AN783" s="44"/>
    </row>
    <row r="784" spans="34:40" ht="14.25" customHeight="1" x14ac:dyDescent="0.3">
      <c r="AH784" s="44"/>
      <c r="AI784" s="49"/>
      <c r="AJ784" s="44"/>
      <c r="AK784" s="44"/>
      <c r="AL784" s="44"/>
      <c r="AM784" s="44"/>
      <c r="AN784" s="44"/>
    </row>
    <row r="785" spans="34:40" ht="14.25" customHeight="1" x14ac:dyDescent="0.3">
      <c r="AH785" s="44"/>
      <c r="AI785" s="49"/>
      <c r="AJ785" s="44"/>
      <c r="AK785" s="44"/>
      <c r="AL785" s="44"/>
      <c r="AM785" s="44"/>
      <c r="AN785" s="44"/>
    </row>
    <row r="786" spans="34:40" ht="14.25" customHeight="1" x14ac:dyDescent="0.3">
      <c r="AH786" s="44"/>
      <c r="AI786" s="49"/>
      <c r="AJ786" s="44"/>
      <c r="AK786" s="44"/>
      <c r="AL786" s="44"/>
      <c r="AM786" s="44"/>
      <c r="AN786" s="44"/>
    </row>
    <row r="787" spans="34:40" ht="14.25" customHeight="1" x14ac:dyDescent="0.3">
      <c r="AH787" s="44"/>
      <c r="AI787" s="49"/>
      <c r="AJ787" s="44"/>
      <c r="AK787" s="44"/>
      <c r="AL787" s="44"/>
      <c r="AM787" s="44"/>
      <c r="AN787" s="44"/>
    </row>
    <row r="788" spans="34:40" ht="14.25" customHeight="1" x14ac:dyDescent="0.3">
      <c r="AH788" s="44"/>
      <c r="AI788" s="49"/>
      <c r="AJ788" s="44"/>
      <c r="AK788" s="44"/>
      <c r="AL788" s="44"/>
      <c r="AM788" s="44"/>
      <c r="AN788" s="44"/>
    </row>
    <row r="789" spans="34:40" ht="14.25" customHeight="1" x14ac:dyDescent="0.3">
      <c r="AH789" s="44"/>
      <c r="AI789" s="49"/>
      <c r="AJ789" s="44"/>
      <c r="AK789" s="44"/>
      <c r="AL789" s="44"/>
      <c r="AM789" s="44"/>
      <c r="AN789" s="44"/>
    </row>
    <row r="790" spans="34:40" ht="14.25" customHeight="1" x14ac:dyDescent="0.3">
      <c r="AH790" s="44"/>
      <c r="AI790" s="49"/>
      <c r="AJ790" s="44"/>
      <c r="AK790" s="44"/>
      <c r="AL790" s="44"/>
      <c r="AM790" s="44"/>
      <c r="AN790" s="44"/>
    </row>
    <row r="791" spans="34:40" ht="14.25" customHeight="1" x14ac:dyDescent="0.3">
      <c r="AH791" s="44"/>
      <c r="AI791" s="49"/>
      <c r="AJ791" s="44"/>
      <c r="AK791" s="44"/>
      <c r="AL791" s="44"/>
      <c r="AM791" s="44"/>
      <c r="AN791" s="44"/>
    </row>
    <row r="792" spans="34:40" ht="14.25" customHeight="1" x14ac:dyDescent="0.3">
      <c r="AH792" s="44"/>
      <c r="AI792" s="49"/>
      <c r="AJ792" s="44"/>
      <c r="AK792" s="44"/>
      <c r="AL792" s="44"/>
      <c r="AM792" s="44"/>
      <c r="AN792" s="44"/>
    </row>
    <row r="793" spans="34:40" ht="14.25" customHeight="1" x14ac:dyDescent="0.3">
      <c r="AH793" s="44"/>
      <c r="AI793" s="49"/>
      <c r="AJ793" s="44"/>
      <c r="AK793" s="44"/>
      <c r="AL793" s="44"/>
      <c r="AM793" s="44"/>
      <c r="AN793" s="44"/>
    </row>
    <row r="794" spans="34:40" ht="14.25" customHeight="1" x14ac:dyDescent="0.3">
      <c r="AH794" s="44"/>
      <c r="AI794" s="49"/>
      <c r="AJ794" s="44"/>
      <c r="AK794" s="44"/>
      <c r="AL794" s="44"/>
      <c r="AM794" s="44"/>
      <c r="AN794" s="44"/>
    </row>
    <row r="795" spans="34:40" ht="14.25" customHeight="1" x14ac:dyDescent="0.3">
      <c r="AH795" s="44"/>
      <c r="AI795" s="49"/>
      <c r="AJ795" s="44"/>
      <c r="AK795" s="44"/>
      <c r="AL795" s="44"/>
      <c r="AM795" s="44"/>
      <c r="AN795" s="44"/>
    </row>
    <row r="796" spans="34:40" ht="14.25" customHeight="1" x14ac:dyDescent="0.3">
      <c r="AH796" s="44"/>
      <c r="AI796" s="49"/>
      <c r="AJ796" s="44"/>
      <c r="AK796" s="44"/>
      <c r="AL796" s="44"/>
      <c r="AM796" s="44"/>
      <c r="AN796" s="44"/>
    </row>
    <row r="797" spans="34:40" ht="14.25" customHeight="1" x14ac:dyDescent="0.3">
      <c r="AH797" s="44"/>
      <c r="AI797" s="49"/>
      <c r="AJ797" s="44"/>
      <c r="AK797" s="44"/>
      <c r="AL797" s="44"/>
      <c r="AM797" s="44"/>
      <c r="AN797" s="44"/>
    </row>
    <row r="798" spans="34:40" ht="14.25" customHeight="1" x14ac:dyDescent="0.3">
      <c r="AH798" s="44"/>
      <c r="AI798" s="49"/>
      <c r="AJ798" s="44"/>
      <c r="AK798" s="44"/>
      <c r="AL798" s="44"/>
      <c r="AM798" s="44"/>
      <c r="AN798" s="44"/>
    </row>
    <row r="799" spans="34:40" ht="14.25" customHeight="1" x14ac:dyDescent="0.3">
      <c r="AH799" s="44"/>
      <c r="AI799" s="49"/>
      <c r="AJ799" s="44"/>
      <c r="AK799" s="44"/>
      <c r="AL799" s="44"/>
      <c r="AM799" s="44"/>
      <c r="AN799" s="44"/>
    </row>
    <row r="800" spans="34:40" ht="14.25" customHeight="1" x14ac:dyDescent="0.3">
      <c r="AH800" s="44"/>
      <c r="AI800" s="49"/>
      <c r="AJ800" s="44"/>
      <c r="AK800" s="44"/>
      <c r="AL800" s="44"/>
      <c r="AM800" s="44"/>
      <c r="AN800" s="44"/>
    </row>
    <row r="801" spans="34:40" ht="14.25" customHeight="1" x14ac:dyDescent="0.3">
      <c r="AH801" s="44"/>
      <c r="AI801" s="49"/>
      <c r="AJ801" s="44"/>
      <c r="AK801" s="44"/>
      <c r="AL801" s="44"/>
      <c r="AM801" s="44"/>
      <c r="AN801" s="44"/>
    </row>
    <row r="802" spans="34:40" ht="14.25" customHeight="1" x14ac:dyDescent="0.3">
      <c r="AH802" s="44"/>
      <c r="AI802" s="49"/>
      <c r="AJ802" s="44"/>
      <c r="AK802" s="44"/>
      <c r="AL802" s="44"/>
      <c r="AM802" s="44"/>
      <c r="AN802" s="44"/>
    </row>
    <row r="803" spans="34:40" ht="14.25" customHeight="1" x14ac:dyDescent="0.3">
      <c r="AH803" s="44"/>
      <c r="AI803" s="49"/>
      <c r="AJ803" s="44"/>
      <c r="AK803" s="44"/>
      <c r="AL803" s="44"/>
      <c r="AM803" s="44"/>
      <c r="AN803" s="44"/>
    </row>
    <row r="804" spans="34:40" ht="14.25" customHeight="1" x14ac:dyDescent="0.3">
      <c r="AH804" s="44"/>
      <c r="AI804" s="49"/>
      <c r="AJ804" s="44"/>
      <c r="AK804" s="44"/>
      <c r="AL804" s="44"/>
      <c r="AM804" s="44"/>
      <c r="AN804" s="44"/>
    </row>
    <row r="805" spans="34:40" ht="14.25" customHeight="1" x14ac:dyDescent="0.3">
      <c r="AH805" s="44"/>
      <c r="AI805" s="49"/>
      <c r="AJ805" s="44"/>
      <c r="AK805" s="44"/>
      <c r="AL805" s="44"/>
      <c r="AM805" s="44"/>
      <c r="AN805" s="44"/>
    </row>
    <row r="806" spans="34:40" ht="14.25" customHeight="1" x14ac:dyDescent="0.3">
      <c r="AH806" s="44"/>
      <c r="AI806" s="49"/>
      <c r="AJ806" s="44"/>
      <c r="AK806" s="44"/>
      <c r="AL806" s="44"/>
      <c r="AM806" s="44"/>
      <c r="AN806" s="44"/>
    </row>
    <row r="807" spans="34:40" ht="14.25" customHeight="1" x14ac:dyDescent="0.3">
      <c r="AH807" s="44"/>
      <c r="AI807" s="49"/>
      <c r="AJ807" s="44"/>
      <c r="AK807" s="44"/>
      <c r="AL807" s="44"/>
      <c r="AM807" s="44"/>
      <c r="AN807" s="44"/>
    </row>
    <row r="808" spans="34:40" ht="14.25" customHeight="1" x14ac:dyDescent="0.3">
      <c r="AH808" s="44"/>
      <c r="AI808" s="49"/>
      <c r="AJ808" s="44"/>
      <c r="AK808" s="44"/>
      <c r="AL808" s="44"/>
      <c r="AM808" s="44"/>
      <c r="AN808" s="44"/>
    </row>
    <row r="809" spans="34:40" ht="14.25" customHeight="1" x14ac:dyDescent="0.3">
      <c r="AH809" s="44"/>
      <c r="AI809" s="49"/>
      <c r="AJ809" s="44"/>
      <c r="AK809" s="44"/>
      <c r="AL809" s="44"/>
      <c r="AM809" s="44"/>
      <c r="AN809" s="44"/>
    </row>
    <row r="810" spans="34:40" ht="14.25" customHeight="1" x14ac:dyDescent="0.3">
      <c r="AH810" s="44"/>
      <c r="AI810" s="49"/>
      <c r="AJ810" s="44"/>
      <c r="AK810" s="44"/>
      <c r="AL810" s="44"/>
      <c r="AM810" s="44"/>
      <c r="AN810" s="44"/>
    </row>
    <row r="811" spans="34:40" ht="14.25" customHeight="1" x14ac:dyDescent="0.3">
      <c r="AH811" s="44"/>
      <c r="AI811" s="49"/>
      <c r="AJ811" s="44"/>
      <c r="AK811" s="44"/>
      <c r="AL811" s="44"/>
      <c r="AM811" s="44"/>
      <c r="AN811" s="44"/>
    </row>
    <row r="812" spans="34:40" ht="14.25" customHeight="1" x14ac:dyDescent="0.3">
      <c r="AH812" s="44"/>
      <c r="AI812" s="49"/>
      <c r="AJ812" s="44"/>
      <c r="AK812" s="44"/>
      <c r="AL812" s="44"/>
      <c r="AM812" s="44"/>
      <c r="AN812" s="44"/>
    </row>
    <row r="813" spans="34:40" ht="14.25" customHeight="1" x14ac:dyDescent="0.3">
      <c r="AH813" s="44"/>
      <c r="AI813" s="49"/>
      <c r="AJ813" s="44"/>
      <c r="AK813" s="44"/>
      <c r="AL813" s="44"/>
      <c r="AM813" s="44"/>
      <c r="AN813" s="44"/>
    </row>
    <row r="814" spans="34:40" ht="14.25" customHeight="1" x14ac:dyDescent="0.3">
      <c r="AH814" s="44"/>
      <c r="AI814" s="49"/>
      <c r="AJ814" s="44"/>
      <c r="AK814" s="44"/>
      <c r="AL814" s="44"/>
      <c r="AM814" s="44"/>
      <c r="AN814" s="44"/>
    </row>
    <row r="815" spans="34:40" ht="14.25" customHeight="1" x14ac:dyDescent="0.3">
      <c r="AH815" s="44"/>
      <c r="AI815" s="49"/>
      <c r="AJ815" s="44"/>
      <c r="AK815" s="44"/>
      <c r="AL815" s="44"/>
      <c r="AM815" s="44"/>
      <c r="AN815" s="44"/>
    </row>
    <row r="816" spans="34:40" ht="14.25" customHeight="1" x14ac:dyDescent="0.3">
      <c r="AH816" s="44"/>
      <c r="AI816" s="49"/>
      <c r="AJ816" s="44"/>
      <c r="AK816" s="44"/>
      <c r="AL816" s="44"/>
      <c r="AM816" s="44"/>
      <c r="AN816" s="44"/>
    </row>
    <row r="817" spans="34:40" ht="14.25" customHeight="1" x14ac:dyDescent="0.3">
      <c r="AH817" s="44"/>
      <c r="AI817" s="49"/>
      <c r="AJ817" s="44"/>
      <c r="AK817" s="44"/>
      <c r="AL817" s="44"/>
      <c r="AM817" s="44"/>
      <c r="AN817" s="44"/>
    </row>
    <row r="818" spans="34:40" ht="14.25" customHeight="1" x14ac:dyDescent="0.3">
      <c r="AH818" s="44"/>
      <c r="AI818" s="49"/>
      <c r="AJ818" s="44"/>
      <c r="AK818" s="44"/>
      <c r="AL818" s="44"/>
      <c r="AM818" s="44"/>
      <c r="AN818" s="44"/>
    </row>
    <row r="819" spans="34:40" ht="14.25" customHeight="1" x14ac:dyDescent="0.3">
      <c r="AH819" s="44"/>
      <c r="AI819" s="49"/>
      <c r="AJ819" s="44"/>
      <c r="AK819" s="44"/>
      <c r="AL819" s="44"/>
      <c r="AM819" s="44"/>
      <c r="AN819" s="44"/>
    </row>
    <row r="820" spans="34:40" ht="14.25" customHeight="1" x14ac:dyDescent="0.3">
      <c r="AH820" s="44"/>
      <c r="AI820" s="49"/>
      <c r="AJ820" s="44"/>
      <c r="AK820" s="44"/>
      <c r="AL820" s="44"/>
      <c r="AM820" s="44"/>
      <c r="AN820" s="44"/>
    </row>
    <row r="821" spans="34:40" ht="14.25" customHeight="1" x14ac:dyDescent="0.3">
      <c r="AH821" s="44"/>
      <c r="AI821" s="49"/>
      <c r="AJ821" s="44"/>
      <c r="AK821" s="44"/>
      <c r="AL821" s="44"/>
      <c r="AM821" s="44"/>
      <c r="AN821" s="44"/>
    </row>
    <row r="822" spans="34:40" ht="14.25" customHeight="1" x14ac:dyDescent="0.3">
      <c r="AH822" s="44"/>
      <c r="AI822" s="49"/>
      <c r="AJ822" s="44"/>
      <c r="AK822" s="44"/>
      <c r="AL822" s="44"/>
      <c r="AM822" s="44"/>
      <c r="AN822" s="44"/>
    </row>
    <row r="823" spans="34:40" ht="14.25" customHeight="1" x14ac:dyDescent="0.3">
      <c r="AH823" s="44"/>
      <c r="AI823" s="49"/>
      <c r="AJ823" s="44"/>
      <c r="AK823" s="44"/>
      <c r="AL823" s="44"/>
      <c r="AM823" s="44"/>
      <c r="AN823" s="44"/>
    </row>
    <row r="824" spans="34:40" ht="14.25" customHeight="1" x14ac:dyDescent="0.3">
      <c r="AH824" s="44"/>
      <c r="AI824" s="49"/>
      <c r="AJ824" s="44"/>
      <c r="AK824" s="44"/>
      <c r="AL824" s="44"/>
      <c r="AM824" s="44"/>
      <c r="AN824" s="44"/>
    </row>
    <row r="825" spans="34:40" ht="14.25" customHeight="1" x14ac:dyDescent="0.3">
      <c r="AH825" s="44"/>
      <c r="AI825" s="49"/>
      <c r="AJ825" s="44"/>
      <c r="AK825" s="44"/>
      <c r="AL825" s="44"/>
      <c r="AM825" s="44"/>
      <c r="AN825" s="44"/>
    </row>
    <row r="826" spans="34:40" ht="14.25" customHeight="1" x14ac:dyDescent="0.3">
      <c r="AH826" s="44"/>
      <c r="AI826" s="49"/>
      <c r="AJ826" s="44"/>
      <c r="AK826" s="44"/>
      <c r="AL826" s="44"/>
      <c r="AM826" s="44"/>
      <c r="AN826" s="44"/>
    </row>
    <row r="827" spans="34:40" ht="14.25" customHeight="1" x14ac:dyDescent="0.3">
      <c r="AH827" s="44"/>
      <c r="AI827" s="49"/>
      <c r="AJ827" s="44"/>
      <c r="AK827" s="44"/>
      <c r="AL827" s="44"/>
      <c r="AM827" s="44"/>
      <c r="AN827" s="44"/>
    </row>
    <row r="828" spans="34:40" ht="14.25" customHeight="1" x14ac:dyDescent="0.3">
      <c r="AH828" s="44"/>
      <c r="AI828" s="49"/>
      <c r="AJ828" s="44"/>
      <c r="AK828" s="44"/>
      <c r="AL828" s="44"/>
      <c r="AM828" s="44"/>
      <c r="AN828" s="44"/>
    </row>
    <row r="829" spans="34:40" ht="14.25" customHeight="1" x14ac:dyDescent="0.3">
      <c r="AH829" s="44"/>
      <c r="AI829" s="49"/>
      <c r="AJ829" s="44"/>
      <c r="AK829" s="44"/>
      <c r="AL829" s="44"/>
      <c r="AM829" s="44"/>
      <c r="AN829" s="44"/>
    </row>
    <row r="830" spans="34:40" ht="14.25" customHeight="1" x14ac:dyDescent="0.3">
      <c r="AH830" s="44"/>
      <c r="AI830" s="49"/>
      <c r="AJ830" s="44"/>
      <c r="AK830" s="44"/>
      <c r="AL830" s="44"/>
      <c r="AM830" s="44"/>
      <c r="AN830" s="44"/>
    </row>
    <row r="831" spans="34:40" ht="14.25" customHeight="1" x14ac:dyDescent="0.3">
      <c r="AH831" s="44"/>
      <c r="AI831" s="49"/>
      <c r="AJ831" s="44"/>
      <c r="AK831" s="44"/>
      <c r="AL831" s="44"/>
      <c r="AM831" s="44"/>
      <c r="AN831" s="44"/>
    </row>
    <row r="832" spans="34:40" ht="14.25" customHeight="1" x14ac:dyDescent="0.3">
      <c r="AH832" s="44"/>
      <c r="AI832" s="49"/>
      <c r="AJ832" s="44"/>
      <c r="AK832" s="44"/>
      <c r="AL832" s="44"/>
      <c r="AM832" s="44"/>
      <c r="AN832" s="44"/>
    </row>
    <row r="833" spans="34:40" ht="14.25" customHeight="1" x14ac:dyDescent="0.3">
      <c r="AH833" s="44"/>
      <c r="AI833" s="49"/>
      <c r="AJ833" s="44"/>
      <c r="AK833" s="44"/>
      <c r="AL833" s="44"/>
      <c r="AM833" s="44"/>
      <c r="AN833" s="44"/>
    </row>
    <row r="834" spans="34:40" ht="14.25" customHeight="1" x14ac:dyDescent="0.3">
      <c r="AH834" s="44"/>
      <c r="AI834" s="49"/>
      <c r="AJ834" s="44"/>
      <c r="AK834" s="44"/>
      <c r="AL834" s="44"/>
      <c r="AM834" s="44"/>
      <c r="AN834" s="44"/>
    </row>
    <row r="835" spans="34:40" ht="14.25" customHeight="1" x14ac:dyDescent="0.3">
      <c r="AH835" s="44"/>
      <c r="AI835" s="49"/>
      <c r="AJ835" s="44"/>
      <c r="AK835" s="44"/>
      <c r="AL835" s="44"/>
      <c r="AM835" s="44"/>
      <c r="AN835" s="44"/>
    </row>
    <row r="836" spans="34:40" ht="14.25" customHeight="1" x14ac:dyDescent="0.3">
      <c r="AH836" s="44"/>
      <c r="AI836" s="49"/>
      <c r="AJ836" s="44"/>
      <c r="AK836" s="44"/>
      <c r="AL836" s="44"/>
      <c r="AM836" s="44"/>
      <c r="AN836" s="44"/>
    </row>
    <row r="837" spans="34:40" ht="14.25" customHeight="1" x14ac:dyDescent="0.3">
      <c r="AH837" s="44"/>
      <c r="AI837" s="49"/>
      <c r="AJ837" s="44"/>
      <c r="AK837" s="44"/>
      <c r="AL837" s="44"/>
      <c r="AM837" s="44"/>
      <c r="AN837" s="44"/>
    </row>
    <row r="838" spans="34:40" ht="14.25" customHeight="1" x14ac:dyDescent="0.3">
      <c r="AH838" s="44"/>
      <c r="AI838" s="49"/>
      <c r="AJ838" s="44"/>
      <c r="AK838" s="44"/>
      <c r="AL838" s="44"/>
      <c r="AM838" s="44"/>
      <c r="AN838" s="44"/>
    </row>
    <row r="839" spans="34:40" ht="14.25" customHeight="1" x14ac:dyDescent="0.3">
      <c r="AH839" s="44"/>
      <c r="AI839" s="49"/>
      <c r="AJ839" s="44"/>
      <c r="AK839" s="44"/>
      <c r="AL839" s="44"/>
      <c r="AM839" s="44"/>
      <c r="AN839" s="44"/>
    </row>
    <row r="840" spans="34:40" ht="14.25" customHeight="1" x14ac:dyDescent="0.3">
      <c r="AH840" s="44"/>
      <c r="AI840" s="49"/>
      <c r="AJ840" s="44"/>
      <c r="AK840" s="44"/>
      <c r="AL840" s="44"/>
      <c r="AM840" s="44"/>
      <c r="AN840" s="44"/>
    </row>
    <row r="841" spans="34:40" ht="14.25" customHeight="1" x14ac:dyDescent="0.3">
      <c r="AH841" s="44"/>
      <c r="AI841" s="49"/>
      <c r="AJ841" s="44"/>
      <c r="AK841" s="44"/>
      <c r="AL841" s="44"/>
      <c r="AM841" s="44"/>
      <c r="AN841" s="44"/>
    </row>
    <row r="842" spans="34:40" ht="14.25" customHeight="1" x14ac:dyDescent="0.3">
      <c r="AH842" s="44"/>
      <c r="AI842" s="49"/>
      <c r="AJ842" s="44"/>
      <c r="AK842" s="44"/>
      <c r="AL842" s="44"/>
      <c r="AM842" s="44"/>
      <c r="AN842" s="44"/>
    </row>
    <row r="843" spans="34:40" ht="14.25" customHeight="1" x14ac:dyDescent="0.3">
      <c r="AH843" s="44"/>
      <c r="AI843" s="49"/>
      <c r="AJ843" s="44"/>
      <c r="AK843" s="44"/>
      <c r="AL843" s="44"/>
      <c r="AM843" s="44"/>
      <c r="AN843" s="44"/>
    </row>
    <row r="844" spans="34:40" ht="14.25" customHeight="1" x14ac:dyDescent="0.3">
      <c r="AH844" s="44"/>
      <c r="AI844" s="49"/>
      <c r="AJ844" s="44"/>
      <c r="AK844" s="44"/>
      <c r="AL844" s="44"/>
      <c r="AM844" s="44"/>
      <c r="AN844" s="44"/>
    </row>
    <row r="845" spans="34:40" ht="14.25" customHeight="1" x14ac:dyDescent="0.3">
      <c r="AH845" s="44"/>
      <c r="AI845" s="49"/>
      <c r="AJ845" s="44"/>
      <c r="AK845" s="44"/>
      <c r="AL845" s="44"/>
      <c r="AM845" s="44"/>
      <c r="AN845" s="44"/>
    </row>
    <row r="846" spans="34:40" ht="14.25" customHeight="1" x14ac:dyDescent="0.3">
      <c r="AH846" s="44"/>
      <c r="AI846" s="49"/>
      <c r="AJ846" s="44"/>
      <c r="AK846" s="44"/>
      <c r="AL846" s="44"/>
      <c r="AM846" s="44"/>
      <c r="AN846" s="44"/>
    </row>
    <row r="847" spans="34:40" ht="14.25" customHeight="1" x14ac:dyDescent="0.3">
      <c r="AH847" s="44"/>
      <c r="AI847" s="49"/>
      <c r="AJ847" s="44"/>
      <c r="AK847" s="44"/>
      <c r="AL847" s="44"/>
      <c r="AM847" s="44"/>
      <c r="AN847" s="44"/>
    </row>
    <row r="848" spans="34:40" ht="14.25" customHeight="1" x14ac:dyDescent="0.3">
      <c r="AH848" s="44"/>
      <c r="AI848" s="49"/>
      <c r="AJ848" s="44"/>
      <c r="AK848" s="44"/>
      <c r="AL848" s="44"/>
      <c r="AM848" s="44"/>
      <c r="AN848" s="44"/>
    </row>
    <row r="849" spans="34:40" ht="14.25" customHeight="1" x14ac:dyDescent="0.3">
      <c r="AH849" s="44"/>
      <c r="AI849" s="49"/>
      <c r="AJ849" s="44"/>
      <c r="AK849" s="44"/>
      <c r="AL849" s="44"/>
      <c r="AM849" s="44"/>
      <c r="AN849" s="44"/>
    </row>
    <row r="850" spans="34:40" ht="14.25" customHeight="1" x14ac:dyDescent="0.3">
      <c r="AH850" s="44"/>
      <c r="AI850" s="49"/>
      <c r="AJ850" s="44"/>
      <c r="AK850" s="44"/>
      <c r="AL850" s="44"/>
      <c r="AM850" s="44"/>
      <c r="AN850" s="44"/>
    </row>
    <row r="851" spans="34:40" ht="14.25" customHeight="1" x14ac:dyDescent="0.3">
      <c r="AH851" s="44"/>
      <c r="AI851" s="49"/>
      <c r="AJ851" s="44"/>
      <c r="AK851" s="44"/>
      <c r="AL851" s="44"/>
      <c r="AM851" s="44"/>
      <c r="AN851" s="44"/>
    </row>
    <row r="852" spans="34:40" ht="14.25" customHeight="1" x14ac:dyDescent="0.3">
      <c r="AH852" s="44"/>
      <c r="AI852" s="49"/>
      <c r="AJ852" s="44"/>
      <c r="AK852" s="44"/>
      <c r="AL852" s="44"/>
      <c r="AM852" s="44"/>
      <c r="AN852" s="44"/>
    </row>
    <row r="853" spans="34:40" ht="14.25" customHeight="1" x14ac:dyDescent="0.3">
      <c r="AH853" s="44"/>
      <c r="AI853" s="49"/>
      <c r="AJ853" s="44"/>
      <c r="AK853" s="44"/>
      <c r="AL853" s="44"/>
      <c r="AM853" s="44"/>
      <c r="AN853" s="44"/>
    </row>
    <row r="854" spans="34:40" ht="14.25" customHeight="1" x14ac:dyDescent="0.3">
      <c r="AH854" s="44"/>
      <c r="AI854" s="49"/>
      <c r="AJ854" s="44"/>
      <c r="AK854" s="44"/>
      <c r="AL854" s="44"/>
      <c r="AM854" s="44"/>
      <c r="AN854" s="44"/>
    </row>
    <row r="855" spans="34:40" ht="14.25" customHeight="1" x14ac:dyDescent="0.3">
      <c r="AH855" s="44"/>
      <c r="AI855" s="49"/>
      <c r="AJ855" s="44"/>
      <c r="AK855" s="44"/>
      <c r="AL855" s="44"/>
      <c r="AM855" s="44"/>
      <c r="AN855" s="44"/>
    </row>
    <row r="856" spans="34:40" ht="14.25" customHeight="1" x14ac:dyDescent="0.3">
      <c r="AH856" s="44"/>
      <c r="AI856" s="49"/>
      <c r="AJ856" s="44"/>
      <c r="AK856" s="44"/>
      <c r="AL856" s="44"/>
      <c r="AM856" s="44"/>
      <c r="AN856" s="44"/>
    </row>
    <row r="857" spans="34:40" ht="14.25" customHeight="1" x14ac:dyDescent="0.3">
      <c r="AH857" s="44"/>
      <c r="AI857" s="49"/>
      <c r="AJ857" s="44"/>
      <c r="AK857" s="44"/>
      <c r="AL857" s="44"/>
      <c r="AM857" s="44"/>
      <c r="AN857" s="44"/>
    </row>
    <row r="858" spans="34:40" ht="14.25" customHeight="1" x14ac:dyDescent="0.3">
      <c r="AH858" s="44"/>
      <c r="AI858" s="49"/>
      <c r="AJ858" s="44"/>
      <c r="AK858" s="44"/>
      <c r="AL858" s="44"/>
      <c r="AM858" s="44"/>
      <c r="AN858" s="44"/>
    </row>
    <row r="859" spans="34:40" ht="14.25" customHeight="1" x14ac:dyDescent="0.3">
      <c r="AH859" s="44"/>
      <c r="AI859" s="49"/>
      <c r="AJ859" s="44"/>
      <c r="AK859" s="44"/>
      <c r="AL859" s="44"/>
      <c r="AM859" s="44"/>
      <c r="AN859" s="44"/>
    </row>
    <row r="860" spans="34:40" ht="14.25" customHeight="1" x14ac:dyDescent="0.3">
      <c r="AH860" s="44"/>
      <c r="AI860" s="49"/>
      <c r="AJ860" s="44"/>
      <c r="AK860" s="44"/>
      <c r="AL860" s="44"/>
      <c r="AM860" s="44"/>
      <c r="AN860" s="44"/>
    </row>
    <row r="861" spans="34:40" ht="14.25" customHeight="1" x14ac:dyDescent="0.3">
      <c r="AH861" s="44"/>
      <c r="AI861" s="49"/>
      <c r="AJ861" s="44"/>
      <c r="AK861" s="44"/>
      <c r="AL861" s="44"/>
      <c r="AM861" s="44"/>
      <c r="AN861" s="44"/>
    </row>
    <row r="862" spans="34:40" ht="14.25" customHeight="1" x14ac:dyDescent="0.3">
      <c r="AH862" s="44"/>
      <c r="AI862" s="49"/>
      <c r="AJ862" s="44"/>
      <c r="AK862" s="44"/>
      <c r="AL862" s="44"/>
      <c r="AM862" s="44"/>
      <c r="AN862" s="44"/>
    </row>
    <row r="863" spans="34:40" ht="14.25" customHeight="1" x14ac:dyDescent="0.3">
      <c r="AH863" s="44"/>
      <c r="AI863" s="49"/>
      <c r="AJ863" s="44"/>
      <c r="AK863" s="44"/>
      <c r="AL863" s="44"/>
      <c r="AM863" s="44"/>
      <c r="AN863" s="44"/>
    </row>
    <row r="864" spans="34:40" ht="14.25" customHeight="1" x14ac:dyDescent="0.3">
      <c r="AH864" s="44"/>
      <c r="AI864" s="49"/>
      <c r="AJ864" s="44"/>
      <c r="AK864" s="44"/>
      <c r="AL864" s="44"/>
      <c r="AM864" s="44"/>
      <c r="AN864" s="44"/>
    </row>
    <row r="865" spans="34:40" ht="14.25" customHeight="1" x14ac:dyDescent="0.3">
      <c r="AH865" s="44"/>
      <c r="AI865" s="49"/>
      <c r="AJ865" s="44"/>
      <c r="AK865" s="44"/>
      <c r="AL865" s="44"/>
      <c r="AM865" s="44"/>
      <c r="AN865" s="44"/>
    </row>
    <row r="866" spans="34:40" ht="14.25" customHeight="1" x14ac:dyDescent="0.3">
      <c r="AH866" s="44"/>
      <c r="AI866" s="49"/>
      <c r="AJ866" s="44"/>
      <c r="AK866" s="44"/>
      <c r="AL866" s="44"/>
      <c r="AM866" s="44"/>
      <c r="AN866" s="44"/>
    </row>
    <row r="867" spans="34:40" ht="14.25" customHeight="1" x14ac:dyDescent="0.3">
      <c r="AH867" s="44"/>
      <c r="AI867" s="49"/>
      <c r="AJ867" s="44"/>
      <c r="AK867" s="44"/>
      <c r="AL867" s="44"/>
      <c r="AM867" s="44"/>
      <c r="AN867" s="44"/>
    </row>
    <row r="868" spans="34:40" ht="14.25" customHeight="1" x14ac:dyDescent="0.3">
      <c r="AH868" s="44"/>
      <c r="AI868" s="49"/>
      <c r="AJ868" s="44"/>
      <c r="AK868" s="44"/>
      <c r="AL868" s="44"/>
      <c r="AM868" s="44"/>
      <c r="AN868" s="44"/>
    </row>
    <row r="869" spans="34:40" ht="14.25" customHeight="1" x14ac:dyDescent="0.3">
      <c r="AH869" s="44"/>
      <c r="AI869" s="49"/>
      <c r="AJ869" s="44"/>
      <c r="AK869" s="44"/>
      <c r="AL869" s="44"/>
      <c r="AM869" s="44"/>
      <c r="AN869" s="44"/>
    </row>
    <row r="870" spans="34:40" ht="14.25" customHeight="1" x14ac:dyDescent="0.3">
      <c r="AH870" s="44"/>
      <c r="AI870" s="49"/>
      <c r="AJ870" s="44"/>
      <c r="AK870" s="44"/>
      <c r="AL870" s="44"/>
      <c r="AM870" s="44"/>
      <c r="AN870" s="44"/>
    </row>
    <row r="871" spans="34:40" ht="14.25" customHeight="1" x14ac:dyDescent="0.3">
      <c r="AH871" s="44"/>
      <c r="AI871" s="49"/>
      <c r="AJ871" s="44"/>
      <c r="AK871" s="44"/>
      <c r="AL871" s="44"/>
      <c r="AM871" s="44"/>
      <c r="AN871" s="44"/>
    </row>
    <row r="872" spans="34:40" ht="14.25" customHeight="1" x14ac:dyDescent="0.3">
      <c r="AH872" s="44"/>
      <c r="AI872" s="49"/>
      <c r="AJ872" s="44"/>
      <c r="AK872" s="44"/>
      <c r="AL872" s="44"/>
      <c r="AM872" s="44"/>
      <c r="AN872" s="44"/>
    </row>
    <row r="873" spans="34:40" ht="14.25" customHeight="1" x14ac:dyDescent="0.3">
      <c r="AH873" s="44"/>
      <c r="AI873" s="49"/>
      <c r="AJ873" s="44"/>
      <c r="AK873" s="44"/>
      <c r="AL873" s="44"/>
      <c r="AM873" s="44"/>
      <c r="AN873" s="44"/>
    </row>
    <row r="874" spans="34:40" ht="14.25" customHeight="1" x14ac:dyDescent="0.3">
      <c r="AH874" s="44"/>
      <c r="AI874" s="49"/>
      <c r="AJ874" s="44"/>
      <c r="AK874" s="44"/>
      <c r="AL874" s="44"/>
      <c r="AM874" s="44"/>
      <c r="AN874" s="44"/>
    </row>
    <row r="875" spans="34:40" ht="14.25" customHeight="1" x14ac:dyDescent="0.3">
      <c r="AH875" s="44"/>
      <c r="AI875" s="49"/>
      <c r="AJ875" s="44"/>
      <c r="AK875" s="44"/>
      <c r="AL875" s="44"/>
      <c r="AM875" s="44"/>
      <c r="AN875" s="44"/>
    </row>
    <row r="876" spans="34:40" ht="14.25" customHeight="1" x14ac:dyDescent="0.3">
      <c r="AH876" s="44"/>
      <c r="AI876" s="49"/>
      <c r="AJ876" s="44"/>
      <c r="AK876" s="44"/>
      <c r="AL876" s="44"/>
      <c r="AM876" s="44"/>
      <c r="AN876" s="44"/>
    </row>
    <row r="877" spans="34:40" ht="14.25" customHeight="1" x14ac:dyDescent="0.3">
      <c r="AH877" s="44"/>
      <c r="AI877" s="49"/>
      <c r="AJ877" s="44"/>
      <c r="AK877" s="44"/>
      <c r="AL877" s="44"/>
      <c r="AM877" s="44"/>
      <c r="AN877" s="44"/>
    </row>
    <row r="878" spans="34:40" ht="14.25" customHeight="1" x14ac:dyDescent="0.3">
      <c r="AH878" s="44"/>
      <c r="AI878" s="49"/>
      <c r="AJ878" s="44"/>
      <c r="AK878" s="44"/>
      <c r="AL878" s="44"/>
      <c r="AM878" s="44"/>
      <c r="AN878" s="44"/>
    </row>
    <row r="879" spans="34:40" ht="14.25" customHeight="1" x14ac:dyDescent="0.3">
      <c r="AH879" s="44"/>
      <c r="AI879" s="49"/>
      <c r="AJ879" s="44"/>
      <c r="AK879" s="44"/>
      <c r="AL879" s="44"/>
      <c r="AM879" s="44"/>
      <c r="AN879" s="44"/>
    </row>
    <row r="880" spans="34:40" ht="14.25" customHeight="1" x14ac:dyDescent="0.3">
      <c r="AH880" s="44"/>
      <c r="AI880" s="49"/>
      <c r="AJ880" s="44"/>
      <c r="AK880" s="44"/>
      <c r="AL880" s="44"/>
      <c r="AM880" s="44"/>
      <c r="AN880" s="44"/>
    </row>
    <row r="881" spans="34:40" ht="14.25" customHeight="1" x14ac:dyDescent="0.3">
      <c r="AH881" s="44"/>
      <c r="AI881" s="49"/>
      <c r="AJ881" s="44"/>
      <c r="AK881" s="44"/>
      <c r="AL881" s="44"/>
      <c r="AM881" s="44"/>
      <c r="AN881" s="44"/>
    </row>
    <row r="882" spans="34:40" ht="14.25" customHeight="1" x14ac:dyDescent="0.3">
      <c r="AH882" s="44"/>
      <c r="AI882" s="49"/>
      <c r="AJ882" s="44"/>
      <c r="AK882" s="44"/>
      <c r="AL882" s="44"/>
      <c r="AM882" s="44"/>
      <c r="AN882" s="44"/>
    </row>
    <row r="883" spans="34:40" ht="14.25" customHeight="1" x14ac:dyDescent="0.3">
      <c r="AH883" s="44"/>
      <c r="AI883" s="49"/>
      <c r="AJ883" s="44"/>
      <c r="AK883" s="44"/>
      <c r="AL883" s="44"/>
      <c r="AM883" s="44"/>
      <c r="AN883" s="44"/>
    </row>
    <row r="884" spans="34:40" ht="14.25" customHeight="1" x14ac:dyDescent="0.3">
      <c r="AH884" s="44"/>
      <c r="AI884" s="49"/>
      <c r="AJ884" s="44"/>
      <c r="AK884" s="44"/>
      <c r="AL884" s="44"/>
      <c r="AM884" s="44"/>
      <c r="AN884" s="44"/>
    </row>
    <row r="885" spans="34:40" ht="14.25" customHeight="1" x14ac:dyDescent="0.3">
      <c r="AH885" s="44"/>
      <c r="AI885" s="49"/>
      <c r="AJ885" s="44"/>
      <c r="AK885" s="44"/>
      <c r="AL885" s="44"/>
      <c r="AM885" s="44"/>
      <c r="AN885" s="44"/>
    </row>
    <row r="886" spans="34:40" ht="14.25" customHeight="1" x14ac:dyDescent="0.3">
      <c r="AH886" s="44"/>
      <c r="AI886" s="49"/>
      <c r="AJ886" s="44"/>
      <c r="AK886" s="44"/>
      <c r="AL886" s="44"/>
      <c r="AM886" s="44"/>
      <c r="AN886" s="44"/>
    </row>
    <row r="887" spans="34:40" ht="14.25" customHeight="1" x14ac:dyDescent="0.3">
      <c r="AH887" s="44"/>
      <c r="AI887" s="49"/>
      <c r="AJ887" s="44"/>
      <c r="AK887" s="44"/>
      <c r="AL887" s="44"/>
      <c r="AM887" s="44"/>
      <c r="AN887" s="44"/>
    </row>
    <row r="888" spans="34:40" ht="14.25" customHeight="1" x14ac:dyDescent="0.3">
      <c r="AH888" s="44"/>
      <c r="AI888" s="49"/>
      <c r="AJ888" s="44"/>
      <c r="AK888" s="44"/>
      <c r="AL888" s="44"/>
      <c r="AM888" s="44"/>
      <c r="AN888" s="44"/>
    </row>
    <row r="889" spans="34:40" ht="14.25" customHeight="1" x14ac:dyDescent="0.3">
      <c r="AH889" s="44"/>
      <c r="AI889" s="49"/>
      <c r="AJ889" s="44"/>
      <c r="AK889" s="44"/>
      <c r="AL889" s="44"/>
      <c r="AM889" s="44"/>
      <c r="AN889" s="44"/>
    </row>
    <row r="890" spans="34:40" ht="14.25" customHeight="1" x14ac:dyDescent="0.3">
      <c r="AH890" s="44"/>
      <c r="AI890" s="49"/>
      <c r="AJ890" s="44"/>
      <c r="AK890" s="44"/>
      <c r="AL890" s="44"/>
      <c r="AM890" s="44"/>
      <c r="AN890" s="44"/>
    </row>
    <row r="891" spans="34:40" ht="14.25" customHeight="1" x14ac:dyDescent="0.3">
      <c r="AH891" s="44"/>
      <c r="AI891" s="49"/>
      <c r="AJ891" s="44"/>
      <c r="AK891" s="44"/>
      <c r="AL891" s="44"/>
      <c r="AM891" s="44"/>
      <c r="AN891" s="44"/>
    </row>
    <row r="892" spans="34:40" ht="14.25" customHeight="1" x14ac:dyDescent="0.3">
      <c r="AH892" s="44"/>
      <c r="AI892" s="49"/>
      <c r="AJ892" s="44"/>
      <c r="AK892" s="44"/>
      <c r="AL892" s="44"/>
      <c r="AM892" s="44"/>
      <c r="AN892" s="44"/>
    </row>
    <row r="893" spans="34:40" ht="14.25" customHeight="1" x14ac:dyDescent="0.3">
      <c r="AH893" s="44"/>
      <c r="AI893" s="49"/>
      <c r="AJ893" s="44"/>
      <c r="AK893" s="44"/>
      <c r="AL893" s="44"/>
      <c r="AM893" s="44"/>
      <c r="AN893" s="44"/>
    </row>
    <row r="894" spans="34:40" ht="14.25" customHeight="1" x14ac:dyDescent="0.3">
      <c r="AH894" s="44"/>
      <c r="AI894" s="49"/>
      <c r="AJ894" s="44"/>
      <c r="AK894" s="44"/>
      <c r="AL894" s="44"/>
      <c r="AM894" s="44"/>
      <c r="AN894" s="44"/>
    </row>
    <row r="895" spans="34:40" ht="14.25" customHeight="1" x14ac:dyDescent="0.3">
      <c r="AH895" s="44"/>
      <c r="AI895" s="49"/>
      <c r="AJ895" s="44"/>
      <c r="AK895" s="44"/>
      <c r="AL895" s="44"/>
      <c r="AM895" s="44"/>
      <c r="AN895" s="44"/>
    </row>
    <row r="896" spans="34:40" ht="14.25" customHeight="1" x14ac:dyDescent="0.3">
      <c r="AH896" s="44"/>
      <c r="AI896" s="49"/>
      <c r="AJ896" s="44"/>
      <c r="AK896" s="44"/>
      <c r="AL896" s="44"/>
      <c r="AM896" s="44"/>
      <c r="AN896" s="44"/>
    </row>
    <row r="897" spans="34:40" ht="14.25" customHeight="1" x14ac:dyDescent="0.3">
      <c r="AH897" s="44"/>
      <c r="AI897" s="49"/>
      <c r="AJ897" s="44"/>
      <c r="AK897" s="44"/>
      <c r="AL897" s="44"/>
      <c r="AM897" s="44"/>
      <c r="AN897" s="44"/>
    </row>
    <row r="898" spans="34:40" ht="14.25" customHeight="1" x14ac:dyDescent="0.3">
      <c r="AH898" s="44"/>
      <c r="AI898" s="49"/>
      <c r="AJ898" s="44"/>
      <c r="AK898" s="44"/>
      <c r="AL898" s="44"/>
      <c r="AM898" s="44"/>
      <c r="AN898" s="44"/>
    </row>
    <row r="899" spans="34:40" ht="14.25" customHeight="1" x14ac:dyDescent="0.3">
      <c r="AH899" s="44"/>
      <c r="AI899" s="49"/>
      <c r="AJ899" s="44"/>
      <c r="AK899" s="44"/>
      <c r="AL899" s="44"/>
      <c r="AM899" s="44"/>
      <c r="AN899" s="44"/>
    </row>
    <row r="900" spans="34:40" ht="14.25" customHeight="1" x14ac:dyDescent="0.3">
      <c r="AH900" s="44"/>
      <c r="AI900" s="49"/>
      <c r="AJ900" s="44"/>
      <c r="AK900" s="44"/>
      <c r="AL900" s="44"/>
      <c r="AM900" s="44"/>
      <c r="AN900" s="44"/>
    </row>
    <row r="901" spans="34:40" ht="14.25" customHeight="1" x14ac:dyDescent="0.3">
      <c r="AH901" s="44"/>
      <c r="AI901" s="49"/>
      <c r="AJ901" s="44"/>
      <c r="AK901" s="44"/>
      <c r="AL901" s="44"/>
      <c r="AM901" s="44"/>
      <c r="AN901" s="44"/>
    </row>
    <row r="902" spans="34:40" ht="14.25" customHeight="1" x14ac:dyDescent="0.3">
      <c r="AH902" s="44"/>
      <c r="AI902" s="49"/>
      <c r="AJ902" s="44"/>
      <c r="AK902" s="44"/>
      <c r="AL902" s="44"/>
      <c r="AM902" s="44"/>
      <c r="AN902" s="44"/>
    </row>
    <row r="903" spans="34:40" ht="14.25" customHeight="1" x14ac:dyDescent="0.3">
      <c r="AH903" s="44"/>
      <c r="AI903" s="49"/>
      <c r="AJ903" s="44"/>
      <c r="AK903" s="44"/>
      <c r="AL903" s="44"/>
      <c r="AM903" s="44"/>
      <c r="AN903" s="44"/>
    </row>
    <row r="904" spans="34:40" ht="14.25" customHeight="1" x14ac:dyDescent="0.3">
      <c r="AH904" s="44"/>
      <c r="AI904" s="49"/>
      <c r="AJ904" s="44"/>
      <c r="AK904" s="44"/>
      <c r="AL904" s="44"/>
      <c r="AM904" s="44"/>
      <c r="AN904" s="44"/>
    </row>
    <row r="905" spans="34:40" ht="14.25" customHeight="1" x14ac:dyDescent="0.3">
      <c r="AH905" s="44"/>
      <c r="AI905" s="49"/>
      <c r="AJ905" s="44"/>
      <c r="AK905" s="44"/>
      <c r="AL905" s="44"/>
      <c r="AM905" s="44"/>
      <c r="AN905" s="44"/>
    </row>
    <row r="906" spans="34:40" ht="14.25" customHeight="1" x14ac:dyDescent="0.3">
      <c r="AH906" s="44"/>
      <c r="AI906" s="49"/>
      <c r="AJ906" s="44"/>
      <c r="AK906" s="44"/>
      <c r="AL906" s="44"/>
      <c r="AM906" s="44"/>
      <c r="AN906" s="44"/>
    </row>
    <row r="907" spans="34:40" ht="14.25" customHeight="1" x14ac:dyDescent="0.3">
      <c r="AH907" s="44"/>
      <c r="AI907" s="49"/>
      <c r="AJ907" s="44"/>
      <c r="AK907" s="44"/>
      <c r="AL907" s="44"/>
      <c r="AM907" s="44"/>
      <c r="AN907" s="44"/>
    </row>
    <row r="908" spans="34:40" ht="14.25" customHeight="1" x14ac:dyDescent="0.3">
      <c r="AH908" s="44"/>
      <c r="AI908" s="49"/>
      <c r="AJ908" s="44"/>
      <c r="AK908" s="44"/>
      <c r="AL908" s="44"/>
      <c r="AM908" s="44"/>
      <c r="AN908" s="44"/>
    </row>
    <row r="909" spans="34:40" ht="14.25" customHeight="1" x14ac:dyDescent="0.3">
      <c r="AH909" s="44"/>
      <c r="AI909" s="49"/>
      <c r="AJ909" s="44"/>
      <c r="AK909" s="44"/>
      <c r="AL909" s="44"/>
      <c r="AM909" s="44"/>
      <c r="AN909" s="44"/>
    </row>
    <row r="910" spans="34:40" ht="14.25" customHeight="1" x14ac:dyDescent="0.3">
      <c r="AH910" s="44"/>
      <c r="AI910" s="49"/>
      <c r="AJ910" s="44"/>
      <c r="AK910" s="44"/>
      <c r="AL910" s="44"/>
      <c r="AM910" s="44"/>
      <c r="AN910" s="44"/>
    </row>
    <row r="911" spans="34:40" ht="14.25" customHeight="1" x14ac:dyDescent="0.3">
      <c r="AH911" s="44"/>
      <c r="AI911" s="49"/>
      <c r="AJ911" s="44"/>
      <c r="AK911" s="44"/>
      <c r="AL911" s="44"/>
      <c r="AM911" s="44"/>
      <c r="AN911" s="44"/>
    </row>
    <row r="912" spans="34:40" ht="14.25" customHeight="1" x14ac:dyDescent="0.3">
      <c r="AH912" s="44"/>
      <c r="AI912" s="49"/>
      <c r="AJ912" s="44"/>
      <c r="AK912" s="44"/>
      <c r="AL912" s="44"/>
      <c r="AM912" s="44"/>
      <c r="AN912" s="44"/>
    </row>
    <row r="913" spans="34:40" ht="14.25" customHeight="1" x14ac:dyDescent="0.3">
      <c r="AH913" s="44"/>
      <c r="AI913" s="49"/>
      <c r="AJ913" s="44"/>
      <c r="AK913" s="44"/>
      <c r="AL913" s="44"/>
      <c r="AM913" s="44"/>
      <c r="AN913" s="44"/>
    </row>
    <row r="914" spans="34:40" ht="14.25" customHeight="1" x14ac:dyDescent="0.3">
      <c r="AH914" s="44"/>
      <c r="AI914" s="49"/>
      <c r="AJ914" s="44"/>
      <c r="AK914" s="44"/>
      <c r="AL914" s="44"/>
      <c r="AM914" s="44"/>
      <c r="AN914" s="44"/>
    </row>
    <row r="915" spans="34:40" ht="14.25" customHeight="1" x14ac:dyDescent="0.3">
      <c r="AH915" s="44"/>
      <c r="AI915" s="49"/>
      <c r="AJ915" s="44"/>
      <c r="AK915" s="44"/>
      <c r="AL915" s="44"/>
      <c r="AM915" s="44"/>
      <c r="AN915" s="44"/>
    </row>
    <row r="916" spans="34:40" ht="14.25" customHeight="1" x14ac:dyDescent="0.3">
      <c r="AH916" s="44"/>
      <c r="AI916" s="49"/>
      <c r="AJ916" s="44"/>
      <c r="AK916" s="44"/>
      <c r="AL916" s="44"/>
      <c r="AM916" s="44"/>
      <c r="AN916" s="44"/>
    </row>
    <row r="917" spans="34:40" ht="14.25" customHeight="1" x14ac:dyDescent="0.3">
      <c r="AH917" s="44"/>
      <c r="AI917" s="49"/>
      <c r="AJ917" s="44"/>
      <c r="AK917" s="44"/>
      <c r="AL917" s="44"/>
      <c r="AM917" s="44"/>
      <c r="AN917" s="44"/>
    </row>
    <row r="918" spans="34:40" ht="14.25" customHeight="1" x14ac:dyDescent="0.3">
      <c r="AH918" s="44"/>
      <c r="AI918" s="49"/>
      <c r="AJ918" s="44"/>
      <c r="AK918" s="44"/>
      <c r="AL918" s="44"/>
      <c r="AM918" s="44"/>
      <c r="AN918" s="44"/>
    </row>
    <row r="919" spans="34:40" ht="14.25" customHeight="1" x14ac:dyDescent="0.3">
      <c r="AH919" s="44"/>
      <c r="AI919" s="49"/>
      <c r="AJ919" s="44"/>
      <c r="AK919" s="44"/>
      <c r="AL919" s="44"/>
      <c r="AM919" s="44"/>
      <c r="AN919" s="44"/>
    </row>
    <row r="920" spans="34:40" ht="14.25" customHeight="1" x14ac:dyDescent="0.3">
      <c r="AH920" s="44"/>
      <c r="AI920" s="49"/>
      <c r="AJ920" s="44"/>
      <c r="AK920" s="44"/>
      <c r="AL920" s="44"/>
      <c r="AM920" s="44"/>
      <c r="AN920" s="44"/>
    </row>
    <row r="921" spans="34:40" ht="14.25" customHeight="1" x14ac:dyDescent="0.3">
      <c r="AH921" s="44"/>
      <c r="AI921" s="49"/>
      <c r="AJ921" s="44"/>
      <c r="AK921" s="44"/>
      <c r="AL921" s="44"/>
      <c r="AM921" s="44"/>
      <c r="AN921" s="44"/>
    </row>
    <row r="922" spans="34:40" ht="14.25" customHeight="1" x14ac:dyDescent="0.3">
      <c r="AH922" s="44"/>
      <c r="AI922" s="49"/>
      <c r="AJ922" s="44"/>
      <c r="AK922" s="44"/>
      <c r="AL922" s="44"/>
      <c r="AM922" s="44"/>
      <c r="AN922" s="44"/>
    </row>
    <row r="923" spans="34:40" ht="14.25" customHeight="1" x14ac:dyDescent="0.3">
      <c r="AH923" s="44"/>
      <c r="AI923" s="49"/>
      <c r="AJ923" s="44"/>
      <c r="AK923" s="44"/>
      <c r="AL923" s="44"/>
      <c r="AM923" s="44"/>
      <c r="AN923" s="44"/>
    </row>
    <row r="924" spans="34:40" ht="14.25" customHeight="1" x14ac:dyDescent="0.3">
      <c r="AH924" s="44"/>
      <c r="AI924" s="49"/>
      <c r="AJ924" s="44"/>
      <c r="AK924" s="44"/>
      <c r="AL924" s="44"/>
      <c r="AM924" s="44"/>
      <c r="AN924" s="44"/>
    </row>
    <row r="925" spans="34:40" ht="14.25" customHeight="1" x14ac:dyDescent="0.3">
      <c r="AH925" s="44"/>
      <c r="AI925" s="49"/>
      <c r="AJ925" s="44"/>
      <c r="AK925" s="44"/>
      <c r="AL925" s="44"/>
      <c r="AM925" s="44"/>
      <c r="AN925" s="44"/>
    </row>
    <row r="926" spans="34:40" ht="14.25" customHeight="1" x14ac:dyDescent="0.3">
      <c r="AH926" s="44"/>
      <c r="AI926" s="49"/>
      <c r="AJ926" s="44"/>
      <c r="AK926" s="44"/>
      <c r="AL926" s="44"/>
      <c r="AM926" s="44"/>
      <c r="AN926" s="44"/>
    </row>
    <row r="927" spans="34:40" ht="14.25" customHeight="1" x14ac:dyDescent="0.3">
      <c r="AH927" s="44"/>
      <c r="AI927" s="49"/>
      <c r="AJ927" s="44"/>
      <c r="AK927" s="44"/>
      <c r="AL927" s="44"/>
      <c r="AM927" s="44"/>
      <c r="AN927" s="44"/>
    </row>
    <row r="928" spans="34:40" ht="14.25" customHeight="1" x14ac:dyDescent="0.3">
      <c r="AH928" s="44"/>
      <c r="AI928" s="49"/>
      <c r="AJ928" s="44"/>
      <c r="AK928" s="44"/>
      <c r="AL928" s="44"/>
      <c r="AM928" s="44"/>
      <c r="AN928" s="44"/>
    </row>
    <row r="929" spans="34:40" ht="14.25" customHeight="1" x14ac:dyDescent="0.3">
      <c r="AH929" s="44"/>
      <c r="AI929" s="49"/>
      <c r="AJ929" s="44"/>
      <c r="AK929" s="44"/>
      <c r="AL929" s="44"/>
      <c r="AM929" s="44"/>
      <c r="AN929" s="44"/>
    </row>
    <row r="930" spans="34:40" ht="14.25" customHeight="1" x14ac:dyDescent="0.3">
      <c r="AH930" s="44"/>
      <c r="AI930" s="49"/>
      <c r="AJ930" s="44"/>
      <c r="AK930" s="44"/>
      <c r="AL930" s="44"/>
      <c r="AM930" s="44"/>
      <c r="AN930" s="44"/>
    </row>
    <row r="931" spans="34:40" ht="14.25" customHeight="1" x14ac:dyDescent="0.3">
      <c r="AH931" s="44"/>
      <c r="AI931" s="49"/>
      <c r="AJ931" s="44"/>
      <c r="AK931" s="44"/>
      <c r="AL931" s="44"/>
      <c r="AM931" s="44"/>
      <c r="AN931" s="44"/>
    </row>
    <row r="932" spans="34:40" ht="14.25" customHeight="1" x14ac:dyDescent="0.3">
      <c r="AH932" s="44"/>
      <c r="AI932" s="49"/>
      <c r="AJ932" s="44"/>
      <c r="AK932" s="44"/>
      <c r="AL932" s="44"/>
      <c r="AM932" s="44"/>
      <c r="AN932" s="44"/>
    </row>
    <row r="933" spans="34:40" ht="14.25" customHeight="1" x14ac:dyDescent="0.3">
      <c r="AH933" s="44"/>
      <c r="AI933" s="49"/>
      <c r="AJ933" s="44"/>
      <c r="AK933" s="44"/>
      <c r="AL933" s="44"/>
      <c r="AM933" s="44"/>
      <c r="AN933" s="44"/>
    </row>
    <row r="934" spans="34:40" ht="14.25" customHeight="1" x14ac:dyDescent="0.3">
      <c r="AH934" s="44"/>
      <c r="AI934" s="49"/>
      <c r="AJ934" s="44"/>
      <c r="AK934" s="44"/>
      <c r="AL934" s="44"/>
      <c r="AM934" s="44"/>
      <c r="AN934" s="44"/>
    </row>
    <row r="935" spans="34:40" ht="14.25" customHeight="1" x14ac:dyDescent="0.3">
      <c r="AH935" s="44"/>
      <c r="AI935" s="49"/>
      <c r="AJ935" s="44"/>
      <c r="AK935" s="44"/>
      <c r="AL935" s="44"/>
      <c r="AM935" s="44"/>
      <c r="AN935" s="44"/>
    </row>
    <row r="936" spans="34:40" ht="14.25" customHeight="1" x14ac:dyDescent="0.3">
      <c r="AH936" s="44"/>
      <c r="AI936" s="49"/>
      <c r="AJ936" s="44"/>
      <c r="AK936" s="44"/>
      <c r="AL936" s="44"/>
      <c r="AM936" s="44"/>
      <c r="AN936" s="44"/>
    </row>
    <row r="937" spans="34:40" ht="14.25" customHeight="1" x14ac:dyDescent="0.3">
      <c r="AH937" s="44"/>
      <c r="AI937" s="49"/>
      <c r="AJ937" s="44"/>
      <c r="AK937" s="44"/>
      <c r="AL937" s="44"/>
      <c r="AM937" s="44"/>
      <c r="AN937" s="44"/>
    </row>
    <row r="938" spans="34:40" ht="14.25" customHeight="1" x14ac:dyDescent="0.3">
      <c r="AH938" s="44"/>
      <c r="AI938" s="49"/>
      <c r="AJ938" s="44"/>
      <c r="AK938" s="44"/>
      <c r="AL938" s="44"/>
      <c r="AM938" s="44"/>
      <c r="AN938" s="44"/>
    </row>
    <row r="939" spans="34:40" ht="14.25" customHeight="1" x14ac:dyDescent="0.3">
      <c r="AH939" s="44"/>
      <c r="AI939" s="49"/>
      <c r="AJ939" s="44"/>
      <c r="AK939" s="44"/>
      <c r="AL939" s="44"/>
      <c r="AM939" s="44"/>
      <c r="AN939" s="44"/>
    </row>
    <row r="940" spans="34:40" ht="14.25" customHeight="1" x14ac:dyDescent="0.3">
      <c r="AH940" s="44"/>
      <c r="AI940" s="49"/>
      <c r="AJ940" s="44"/>
      <c r="AK940" s="44"/>
      <c r="AL940" s="44"/>
      <c r="AM940" s="44"/>
      <c r="AN940" s="44"/>
    </row>
    <row r="941" spans="34:40" ht="14.25" customHeight="1" x14ac:dyDescent="0.3">
      <c r="AH941" s="44"/>
      <c r="AI941" s="49"/>
      <c r="AJ941" s="44"/>
      <c r="AK941" s="44"/>
      <c r="AL941" s="44"/>
      <c r="AM941" s="44"/>
      <c r="AN941" s="44"/>
    </row>
    <row r="942" spans="34:40" ht="14.25" customHeight="1" x14ac:dyDescent="0.3">
      <c r="AH942" s="44"/>
      <c r="AI942" s="49"/>
      <c r="AJ942" s="44"/>
      <c r="AK942" s="44"/>
      <c r="AL942" s="44"/>
      <c r="AM942" s="44"/>
      <c r="AN942" s="44"/>
    </row>
    <row r="943" spans="34:40" ht="14.25" customHeight="1" x14ac:dyDescent="0.3">
      <c r="AH943" s="44"/>
      <c r="AI943" s="49"/>
      <c r="AJ943" s="44"/>
      <c r="AK943" s="44"/>
      <c r="AL943" s="44"/>
      <c r="AM943" s="44"/>
      <c r="AN943" s="44"/>
    </row>
    <row r="944" spans="34:40" ht="14.25" customHeight="1" x14ac:dyDescent="0.3">
      <c r="AH944" s="44"/>
      <c r="AI944" s="49"/>
      <c r="AJ944" s="44"/>
      <c r="AK944" s="44"/>
      <c r="AL944" s="44"/>
      <c r="AM944" s="44"/>
      <c r="AN944" s="44"/>
    </row>
    <row r="945" spans="34:40" ht="14.25" customHeight="1" x14ac:dyDescent="0.3">
      <c r="AH945" s="44"/>
      <c r="AI945" s="49"/>
      <c r="AJ945" s="44"/>
      <c r="AK945" s="44"/>
      <c r="AL945" s="44"/>
      <c r="AM945" s="44"/>
      <c r="AN945" s="44"/>
    </row>
    <row r="946" spans="34:40" ht="14.25" customHeight="1" x14ac:dyDescent="0.3">
      <c r="AH946" s="44"/>
      <c r="AI946" s="49"/>
      <c r="AJ946" s="44"/>
      <c r="AK946" s="44"/>
      <c r="AL946" s="44"/>
      <c r="AM946" s="44"/>
      <c r="AN946" s="44"/>
    </row>
    <row r="947" spans="34:40" ht="14.25" customHeight="1" x14ac:dyDescent="0.3">
      <c r="AH947" s="44"/>
      <c r="AI947" s="49"/>
      <c r="AJ947" s="44"/>
      <c r="AK947" s="44"/>
      <c r="AL947" s="44"/>
      <c r="AM947" s="44"/>
      <c r="AN947" s="44"/>
    </row>
    <row r="948" spans="34:40" ht="14.25" customHeight="1" x14ac:dyDescent="0.3">
      <c r="AH948" s="44"/>
      <c r="AI948" s="49"/>
      <c r="AJ948" s="44"/>
      <c r="AK948" s="44"/>
      <c r="AL948" s="44"/>
      <c r="AM948" s="44"/>
      <c r="AN948" s="44"/>
    </row>
    <row r="949" spans="34:40" ht="14.25" customHeight="1" x14ac:dyDescent="0.3">
      <c r="AH949" s="44"/>
      <c r="AI949" s="49"/>
      <c r="AJ949" s="44"/>
      <c r="AK949" s="44"/>
      <c r="AL949" s="44"/>
      <c r="AM949" s="44"/>
      <c r="AN949" s="44"/>
    </row>
    <row r="950" spans="34:40" ht="14.25" customHeight="1" x14ac:dyDescent="0.3">
      <c r="AH950" s="44"/>
      <c r="AI950" s="49"/>
      <c r="AJ950" s="44"/>
      <c r="AK950" s="44"/>
      <c r="AL950" s="44"/>
      <c r="AM950" s="44"/>
      <c r="AN950" s="44"/>
    </row>
    <row r="951" spans="34:40" ht="14.25" customHeight="1" x14ac:dyDescent="0.3">
      <c r="AH951" s="44"/>
      <c r="AI951" s="49"/>
      <c r="AJ951" s="44"/>
      <c r="AK951" s="44"/>
      <c r="AL951" s="44"/>
      <c r="AM951" s="44"/>
      <c r="AN951" s="44"/>
    </row>
    <row r="952" spans="34:40" ht="14.25" customHeight="1" x14ac:dyDescent="0.3">
      <c r="AH952" s="44"/>
      <c r="AI952" s="49"/>
      <c r="AJ952" s="44"/>
      <c r="AK952" s="44"/>
      <c r="AL952" s="44"/>
      <c r="AM952" s="44"/>
      <c r="AN952" s="44"/>
    </row>
    <row r="953" spans="34:40" ht="14.25" customHeight="1" x14ac:dyDescent="0.3">
      <c r="AH953" s="44"/>
      <c r="AI953" s="49"/>
      <c r="AJ953" s="44"/>
      <c r="AK953" s="44"/>
      <c r="AL953" s="44"/>
      <c r="AM953" s="44"/>
      <c r="AN953" s="44"/>
    </row>
    <row r="954" spans="34:40" ht="14.25" customHeight="1" x14ac:dyDescent="0.3">
      <c r="AH954" s="44"/>
      <c r="AI954" s="49"/>
      <c r="AJ954" s="44"/>
      <c r="AK954" s="44"/>
      <c r="AL954" s="44"/>
      <c r="AM954" s="44"/>
      <c r="AN954" s="44"/>
    </row>
    <row r="955" spans="34:40" ht="14.25" customHeight="1" x14ac:dyDescent="0.3">
      <c r="AH955" s="44"/>
      <c r="AI955" s="49"/>
      <c r="AJ955" s="44"/>
      <c r="AK955" s="44"/>
      <c r="AL955" s="44"/>
      <c r="AM955" s="44"/>
      <c r="AN955" s="44"/>
    </row>
    <row r="956" spans="34:40" ht="14.25" customHeight="1" x14ac:dyDescent="0.3">
      <c r="AH956" s="44"/>
      <c r="AI956" s="49"/>
      <c r="AJ956" s="44"/>
      <c r="AK956" s="44"/>
      <c r="AL956" s="44"/>
      <c r="AM956" s="44"/>
      <c r="AN956" s="44"/>
    </row>
    <row r="957" spans="34:40" ht="14.25" customHeight="1" x14ac:dyDescent="0.3">
      <c r="AH957" s="44"/>
      <c r="AI957" s="49"/>
      <c r="AJ957" s="44"/>
      <c r="AK957" s="44"/>
      <c r="AL957" s="44"/>
      <c r="AM957" s="44"/>
      <c r="AN957" s="44"/>
    </row>
    <row r="958" spans="34:40" ht="14.25" customHeight="1" x14ac:dyDescent="0.3">
      <c r="AH958" s="44"/>
      <c r="AI958" s="49"/>
      <c r="AJ958" s="44"/>
      <c r="AK958" s="44"/>
      <c r="AL958" s="44"/>
      <c r="AM958" s="44"/>
      <c r="AN958" s="44"/>
    </row>
    <row r="959" spans="34:40" ht="14.25" customHeight="1" x14ac:dyDescent="0.3">
      <c r="AH959" s="44"/>
      <c r="AI959" s="49"/>
      <c r="AJ959" s="44"/>
      <c r="AK959" s="44"/>
      <c r="AL959" s="44"/>
      <c r="AM959" s="44"/>
      <c r="AN959" s="44"/>
    </row>
    <row r="960" spans="34:40" ht="14.25" customHeight="1" x14ac:dyDescent="0.3">
      <c r="AH960" s="44"/>
      <c r="AI960" s="49"/>
      <c r="AJ960" s="44"/>
      <c r="AK960" s="44"/>
      <c r="AL960" s="44"/>
      <c r="AM960" s="44"/>
      <c r="AN960" s="44"/>
    </row>
    <row r="961" spans="34:40" ht="14.25" customHeight="1" x14ac:dyDescent="0.3">
      <c r="AH961" s="44"/>
      <c r="AI961" s="49"/>
      <c r="AJ961" s="44"/>
      <c r="AK961" s="44"/>
      <c r="AL961" s="44"/>
      <c r="AM961" s="44"/>
      <c r="AN961" s="44"/>
    </row>
    <row r="962" spans="34:40" ht="14.25" customHeight="1" x14ac:dyDescent="0.3">
      <c r="AH962" s="44"/>
      <c r="AI962" s="49"/>
      <c r="AJ962" s="44"/>
      <c r="AK962" s="44"/>
      <c r="AL962" s="44"/>
      <c r="AM962" s="44"/>
      <c r="AN962" s="44"/>
    </row>
    <row r="963" spans="34:40" ht="14.25" customHeight="1" x14ac:dyDescent="0.3">
      <c r="AH963" s="44"/>
      <c r="AI963" s="49"/>
      <c r="AJ963" s="44"/>
      <c r="AK963" s="44"/>
      <c r="AL963" s="44"/>
      <c r="AM963" s="44"/>
      <c r="AN963" s="44"/>
    </row>
    <row r="964" spans="34:40" ht="14.25" customHeight="1" x14ac:dyDescent="0.3">
      <c r="AH964" s="44"/>
      <c r="AI964" s="49"/>
      <c r="AJ964" s="44"/>
      <c r="AK964" s="44"/>
      <c r="AL964" s="44"/>
      <c r="AM964" s="44"/>
      <c r="AN964" s="44"/>
    </row>
    <row r="965" spans="34:40" ht="14.25" customHeight="1" x14ac:dyDescent="0.3">
      <c r="AH965" s="44"/>
      <c r="AI965" s="49"/>
      <c r="AJ965" s="44"/>
      <c r="AK965" s="44"/>
      <c r="AL965" s="44"/>
      <c r="AM965" s="44"/>
      <c r="AN965" s="44"/>
    </row>
    <row r="966" spans="34:40" ht="14.25" customHeight="1" x14ac:dyDescent="0.3">
      <c r="AH966" s="44"/>
      <c r="AI966" s="49"/>
      <c r="AJ966" s="44"/>
      <c r="AK966" s="44"/>
      <c r="AL966" s="44"/>
      <c r="AM966" s="44"/>
      <c r="AN966" s="44"/>
    </row>
    <row r="967" spans="34:40" ht="14.25" customHeight="1" x14ac:dyDescent="0.3">
      <c r="AH967" s="44"/>
      <c r="AI967" s="49"/>
      <c r="AJ967" s="44"/>
      <c r="AK967" s="44"/>
      <c r="AL967" s="44"/>
      <c r="AM967" s="44"/>
      <c r="AN967" s="44"/>
    </row>
    <row r="968" spans="34:40" ht="14.25" customHeight="1" x14ac:dyDescent="0.3">
      <c r="AH968" s="44"/>
      <c r="AI968" s="49"/>
      <c r="AJ968" s="44"/>
      <c r="AK968" s="44"/>
      <c r="AL968" s="44"/>
      <c r="AM968" s="44"/>
      <c r="AN968" s="44"/>
    </row>
    <row r="969" spans="34:40" ht="14.25" customHeight="1" x14ac:dyDescent="0.3">
      <c r="AH969" s="44"/>
      <c r="AI969" s="49"/>
      <c r="AJ969" s="44"/>
      <c r="AK969" s="44"/>
      <c r="AL969" s="44"/>
      <c r="AM969" s="44"/>
      <c r="AN969" s="44"/>
    </row>
    <row r="970" spans="34:40" ht="14.25" customHeight="1" x14ac:dyDescent="0.3">
      <c r="AH970" s="44"/>
      <c r="AI970" s="49"/>
      <c r="AJ970" s="44"/>
      <c r="AK970" s="44"/>
      <c r="AL970" s="44"/>
      <c r="AM970" s="44"/>
      <c r="AN970" s="44"/>
    </row>
    <row r="971" spans="34:40" ht="14.25" customHeight="1" x14ac:dyDescent="0.3">
      <c r="AH971" s="44"/>
      <c r="AI971" s="49"/>
      <c r="AJ971" s="44"/>
      <c r="AK971" s="44"/>
      <c r="AL971" s="44"/>
      <c r="AM971" s="44"/>
      <c r="AN971" s="44"/>
    </row>
    <row r="972" spans="34:40" ht="14.25" customHeight="1" x14ac:dyDescent="0.3">
      <c r="AH972" s="44"/>
      <c r="AI972" s="49"/>
      <c r="AJ972" s="44"/>
      <c r="AK972" s="44"/>
      <c r="AL972" s="44"/>
      <c r="AM972" s="44"/>
      <c r="AN972" s="44"/>
    </row>
    <row r="973" spans="34:40" ht="14.25" customHeight="1" x14ac:dyDescent="0.3">
      <c r="AH973" s="44"/>
      <c r="AI973" s="49"/>
      <c r="AJ973" s="44"/>
      <c r="AK973" s="44"/>
      <c r="AL973" s="44"/>
      <c r="AM973" s="44"/>
      <c r="AN973" s="44"/>
    </row>
    <row r="974" spans="34:40" ht="14.25" customHeight="1" x14ac:dyDescent="0.3">
      <c r="AH974" s="44"/>
      <c r="AI974" s="49"/>
      <c r="AJ974" s="44"/>
      <c r="AK974" s="44"/>
      <c r="AL974" s="44"/>
      <c r="AM974" s="44"/>
      <c r="AN974" s="44"/>
    </row>
    <row r="975" spans="34:40" ht="14.25" customHeight="1" x14ac:dyDescent="0.3">
      <c r="AH975" s="44"/>
      <c r="AI975" s="49"/>
      <c r="AJ975" s="44"/>
      <c r="AK975" s="44"/>
      <c r="AL975" s="44"/>
      <c r="AM975" s="44"/>
      <c r="AN975" s="44"/>
    </row>
    <row r="976" spans="34:40" ht="14.25" customHeight="1" x14ac:dyDescent="0.3">
      <c r="AH976" s="44"/>
      <c r="AI976" s="49"/>
      <c r="AJ976" s="44"/>
      <c r="AK976" s="44"/>
      <c r="AL976" s="44"/>
      <c r="AM976" s="44"/>
      <c r="AN976" s="44"/>
    </row>
    <row r="977" spans="34:40" ht="14.25" customHeight="1" x14ac:dyDescent="0.3">
      <c r="AH977" s="44"/>
      <c r="AI977" s="49"/>
      <c r="AJ977" s="44"/>
      <c r="AK977" s="44"/>
      <c r="AL977" s="44"/>
      <c r="AM977" s="44"/>
      <c r="AN977" s="44"/>
    </row>
    <row r="978" spans="34:40" ht="14.25" customHeight="1" x14ac:dyDescent="0.3">
      <c r="AH978" s="44"/>
      <c r="AI978" s="49"/>
      <c r="AJ978" s="44"/>
      <c r="AK978" s="44"/>
      <c r="AL978" s="44"/>
      <c r="AM978" s="44"/>
      <c r="AN978" s="44"/>
    </row>
    <row r="979" spans="34:40" ht="14.25" customHeight="1" x14ac:dyDescent="0.3">
      <c r="AH979" s="44"/>
      <c r="AI979" s="49"/>
      <c r="AJ979" s="44"/>
      <c r="AK979" s="44"/>
      <c r="AL979" s="44"/>
      <c r="AM979" s="44"/>
      <c r="AN979" s="44"/>
    </row>
    <row r="980" spans="34:40" ht="14.25" customHeight="1" x14ac:dyDescent="0.3">
      <c r="AH980" s="44"/>
      <c r="AI980" s="49"/>
      <c r="AJ980" s="44"/>
      <c r="AK980" s="44"/>
      <c r="AL980" s="44"/>
      <c r="AM980" s="44"/>
      <c r="AN980" s="44"/>
    </row>
    <row r="981" spans="34:40" ht="14.25" customHeight="1" x14ac:dyDescent="0.3">
      <c r="AH981" s="44"/>
      <c r="AI981" s="49"/>
      <c r="AJ981" s="44"/>
      <c r="AK981" s="44"/>
      <c r="AL981" s="44"/>
      <c r="AM981" s="44"/>
      <c r="AN981" s="44"/>
    </row>
    <row r="982" spans="34:40" ht="14.25" customHeight="1" x14ac:dyDescent="0.3">
      <c r="AH982" s="44"/>
      <c r="AI982" s="49"/>
      <c r="AJ982" s="44"/>
      <c r="AK982" s="44"/>
      <c r="AL982" s="44"/>
      <c r="AM982" s="44"/>
      <c r="AN982" s="44"/>
    </row>
    <row r="983" spans="34:40" ht="14.25" customHeight="1" x14ac:dyDescent="0.3">
      <c r="AH983" s="44"/>
      <c r="AI983" s="49"/>
      <c r="AJ983" s="44"/>
      <c r="AK983" s="44"/>
      <c r="AL983" s="44"/>
      <c r="AM983" s="44"/>
      <c r="AN983" s="44"/>
    </row>
    <row r="984" spans="34:40" ht="14.25" customHeight="1" x14ac:dyDescent="0.3">
      <c r="AH984" s="44"/>
      <c r="AI984" s="49"/>
      <c r="AJ984" s="44"/>
      <c r="AK984" s="44"/>
      <c r="AL984" s="44"/>
      <c r="AM984" s="44"/>
      <c r="AN984" s="44"/>
    </row>
    <row r="985" spans="34:40" ht="14.25" customHeight="1" x14ac:dyDescent="0.3">
      <c r="AH985" s="44"/>
      <c r="AI985" s="49"/>
      <c r="AJ985" s="44"/>
      <c r="AK985" s="44"/>
      <c r="AL985" s="44"/>
      <c r="AM985" s="44"/>
      <c r="AN985" s="44"/>
    </row>
    <row r="986" spans="34:40" ht="14.25" customHeight="1" x14ac:dyDescent="0.3">
      <c r="AH986" s="44"/>
      <c r="AI986" s="49"/>
      <c r="AJ986" s="44"/>
      <c r="AK986" s="44"/>
      <c r="AL986" s="44"/>
      <c r="AM986" s="44"/>
      <c r="AN986" s="44"/>
    </row>
    <row r="987" spans="34:40" ht="14.25" customHeight="1" x14ac:dyDescent="0.3">
      <c r="AH987" s="44"/>
      <c r="AI987" s="49"/>
      <c r="AJ987" s="44"/>
      <c r="AK987" s="44"/>
      <c r="AL987" s="44"/>
      <c r="AM987" s="44"/>
      <c r="AN987" s="44"/>
    </row>
    <row r="988" spans="34:40" ht="14.25" customHeight="1" x14ac:dyDescent="0.3">
      <c r="AH988" s="44"/>
      <c r="AI988" s="49"/>
      <c r="AJ988" s="44"/>
      <c r="AK988" s="44"/>
      <c r="AL988" s="44"/>
      <c r="AM988" s="44"/>
      <c r="AN988" s="44"/>
    </row>
    <row r="989" spans="34:40" ht="14.25" customHeight="1" x14ac:dyDescent="0.3">
      <c r="AH989" s="44"/>
      <c r="AI989" s="49"/>
      <c r="AJ989" s="44"/>
      <c r="AK989" s="44"/>
      <c r="AL989" s="44"/>
      <c r="AM989" s="44"/>
      <c r="AN989" s="44"/>
    </row>
    <row r="990" spans="34:40" ht="14.25" customHeight="1" x14ac:dyDescent="0.3">
      <c r="AH990" s="44"/>
      <c r="AI990" s="49"/>
      <c r="AJ990" s="44"/>
      <c r="AK990" s="44"/>
      <c r="AL990" s="44"/>
      <c r="AM990" s="44"/>
      <c r="AN990" s="44"/>
    </row>
    <row r="991" spans="34:40" ht="14.25" customHeight="1" x14ac:dyDescent="0.3">
      <c r="AH991" s="44"/>
      <c r="AI991" s="49"/>
      <c r="AJ991" s="44"/>
      <c r="AK991" s="44"/>
      <c r="AL991" s="44"/>
      <c r="AM991" s="44"/>
      <c r="AN991" s="44"/>
    </row>
    <row r="992" spans="34:40" ht="14.25" customHeight="1" x14ac:dyDescent="0.3">
      <c r="AH992" s="44"/>
      <c r="AI992" s="49"/>
      <c r="AJ992" s="44"/>
      <c r="AK992" s="44"/>
      <c r="AL992" s="44"/>
      <c r="AM992" s="44"/>
      <c r="AN992" s="44"/>
    </row>
    <row r="993" spans="34:40" ht="14.25" customHeight="1" x14ac:dyDescent="0.3">
      <c r="AH993" s="44"/>
      <c r="AI993" s="49"/>
      <c r="AJ993" s="44"/>
      <c r="AK993" s="44"/>
      <c r="AL993" s="44"/>
      <c r="AM993" s="44"/>
      <c r="AN993" s="44"/>
    </row>
    <row r="994" spans="34:40" ht="14.25" customHeight="1" x14ac:dyDescent="0.3">
      <c r="AH994" s="44"/>
      <c r="AI994" s="49"/>
      <c r="AJ994" s="44"/>
      <c r="AK994" s="44"/>
      <c r="AL994" s="44"/>
      <c r="AM994" s="44"/>
      <c r="AN994" s="44"/>
    </row>
    <row r="995" spans="34:40" ht="14.25" customHeight="1" x14ac:dyDescent="0.3">
      <c r="AH995" s="44"/>
      <c r="AI995" s="49"/>
      <c r="AJ995" s="44"/>
      <c r="AK995" s="44"/>
      <c r="AL995" s="44"/>
      <c r="AM995" s="44"/>
      <c r="AN995" s="44"/>
    </row>
    <row r="996" spans="34:40" ht="14.25" customHeight="1" x14ac:dyDescent="0.3">
      <c r="AH996" s="44"/>
      <c r="AI996" s="49"/>
      <c r="AJ996" s="44"/>
      <c r="AK996" s="44"/>
      <c r="AL996" s="44"/>
      <c r="AM996" s="44"/>
      <c r="AN996" s="44"/>
    </row>
    <row r="997" spans="34:40" ht="14.25" customHeight="1" x14ac:dyDescent="0.3">
      <c r="AH997" s="44"/>
      <c r="AI997" s="49"/>
      <c r="AJ997" s="44"/>
      <c r="AK997" s="44"/>
      <c r="AL997" s="44"/>
      <c r="AM997" s="44"/>
      <c r="AN997" s="44"/>
    </row>
    <row r="998" spans="34:40" ht="14.25" customHeight="1" x14ac:dyDescent="0.3">
      <c r="AH998" s="44"/>
      <c r="AI998" s="49"/>
      <c r="AJ998" s="44"/>
      <c r="AK998" s="44"/>
      <c r="AL998" s="44"/>
      <c r="AM998" s="44"/>
      <c r="AN998" s="44"/>
    </row>
    <row r="999" spans="34:40" ht="14.25" customHeight="1" x14ac:dyDescent="0.3">
      <c r="AH999" s="44"/>
      <c r="AI999" s="49"/>
      <c r="AJ999" s="44"/>
      <c r="AK999" s="44"/>
      <c r="AL999" s="44"/>
      <c r="AM999" s="44"/>
      <c r="AN999" s="44"/>
    </row>
    <row r="1000" spans="34:40" ht="14.25" customHeight="1" x14ac:dyDescent="0.3">
      <c r="AH1000" s="44"/>
      <c r="AI1000" s="49"/>
      <c r="AJ1000" s="44"/>
      <c r="AK1000" s="44"/>
      <c r="AL1000" s="44"/>
      <c r="AM1000" s="44"/>
      <c r="AN1000" s="44"/>
    </row>
  </sheetData>
  <hyperlinks>
    <hyperlink ref="AZ7" r:id="rId1" display="https://www.deerfield.il.us/458/Sustainability-Commission Page 2 — shows the Sustainability Commission represented in the Working Group and lists the staff support team._x000a_Page 4 — says the Village Board established a GHG Reduction Ad Hoc Working Group to complete the initial planning work._x000a_Page 39 — says staff will work with stakeholders including boards and commissions to implement strategies, which suggests the commission is supportive, but not the formal implementation-tracking body." xr:uid="{025B4C1D-224D-4CB5-97CD-B791CD03DFDA}"/>
    <hyperlink ref="AZ25" r:id="rId2" xr:uid="{8E01240B-83D0-44AE-8776-EFEE1009FA8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Hrishitaa D</dc:creator>
  <cp:lastModifiedBy>Hrishitaa D</cp:lastModifiedBy>
  <dcterms:created xsi:type="dcterms:W3CDTF">2026-04-23T18:20:36Z</dcterms:created>
  <dcterms:modified xsi:type="dcterms:W3CDTF">2026-05-07T06:43:34Z</dcterms:modified>
</cp:coreProperties>
</file>